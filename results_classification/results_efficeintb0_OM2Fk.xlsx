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multiclass/results_classification/"/>
    </mc:Choice>
  </mc:AlternateContent>
  <xr:revisionPtr revIDLastSave="0" documentId="13_ncr:1_{10A43F32-4F37-4C70-806A-978958DD367A}" xr6:coauthVersionLast="47" xr6:coauthVersionMax="47" xr10:uidLastSave="{00000000-0000-0000-0000-000000000000}"/>
  <bookViews>
    <workbookView minimized="1" xWindow="30" yWindow="390" windowWidth="28770" windowHeight="15270" firstSheet="1" activeTab="1" xr2:uid="{22566470-8D0C-43F8-874B-5C35B93F586E}"/>
  </bookViews>
  <sheets>
    <sheet name="detection_results1" sheetId="7" r:id="rId1"/>
    <sheet name="detection_results8" sheetId="6" r:id="rId2"/>
    <sheet name="detection_results4 " sheetId="5" r:id="rId3"/>
    <sheet name="detection_results3" sheetId="4" r:id="rId4"/>
    <sheet name="detection_results2" sheetId="3" r:id="rId5"/>
    <sheet name="Foglio1" sheetId="1" r:id="rId6"/>
  </sheets>
  <definedNames>
    <definedName name="DatiEsterni_2" localSheetId="4" hidden="1">detection_results2!$A$1:$G$77</definedName>
    <definedName name="DatiEsterni_3" localSheetId="3" hidden="1">detection_results3!$A$1:$G$79</definedName>
    <definedName name="DatiEsterni_4" localSheetId="2" hidden="1">'detection_results4 '!$A$1:$G$77</definedName>
    <definedName name="DatiEsterni_5" localSheetId="1" hidden="1">detection_results8!$A$1:$G$77</definedName>
    <definedName name="DatiEsterni_6" localSheetId="0" hidden="1">detection_results1!$A$1:$G$77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3" l="1"/>
  <c r="F78" i="7"/>
  <c r="E78" i="7"/>
  <c r="A78" i="7"/>
  <c r="F78" i="6"/>
  <c r="E78" i="6"/>
  <c r="A78" i="6"/>
  <c r="F78" i="5"/>
  <c r="E78" i="5"/>
  <c r="A78" i="5"/>
  <c r="E80" i="4"/>
  <c r="G80" i="4"/>
  <c r="F80" i="4"/>
  <c r="A80" i="4"/>
  <c r="F78" i="3"/>
  <c r="E7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05F930-6BAF-420B-A60C-011FC41DB405}" keepAlive="1" name="Query - detection_results3" description="Connessione alla query 'detection_results3' nella cartella di lavoro." type="5" refreshedVersion="0" background="1">
    <dbPr connection="Provider=Microsoft.Mashup.OleDb.1;Data Source=$Workbook$;Location=detection_results3;Extended Properties=&quot;&quot;" command="SELECT * FROM [detection_results3]"/>
  </connection>
  <connection id="2" xr16:uid="{06ADD5C3-E3DC-43E4-B2B2-50562072AAF8}" keepAlive="1" name="Query - detection_results3 (2)" description="Connessione alla query 'detection_results3 (2)' nella cartella di lavoro." type="5" refreshedVersion="8" background="1" saveData="1">
    <dbPr connection="Provider=Microsoft.Mashup.OleDb.1;Data Source=$Workbook$;Location=&quot;detection_results3 (2)&quot;;Extended Properties=&quot;&quot;" command="SELECT * FROM [detection_results3 (2)]"/>
  </connection>
  <connection id="3" xr16:uid="{AB00CA7F-533C-48B3-8C4D-C3C2A1E1FA66}" keepAlive="1" name="Query - detection_results3 (3)" description="Connessione alla query 'detection_results3 (3)' nella cartella di lavoro." type="5" refreshedVersion="8" background="1" saveData="1">
    <dbPr connection="Provider=Microsoft.Mashup.OleDb.1;Data Source=$Workbook$;Location=&quot;detection_results3 (3)&quot;;Extended Properties=&quot;&quot;" command="SELECT * FROM [detection_results3 (3)]"/>
  </connection>
  <connection id="4" xr16:uid="{D5961769-13D6-4141-B591-F1E1898EEAF1}" keepAlive="1" name="Query - detection_results3 (4)" description="Connessione alla query 'detection_results3 (4)' nella cartella di lavoro." type="5" refreshedVersion="8" background="1" saveData="1">
    <dbPr connection="Provider=Microsoft.Mashup.OleDb.1;Data Source=$Workbook$;Location=&quot;detection_results3 (4)&quot;;Extended Properties=&quot;&quot;" command="SELECT * FROM [detection_results3 (4)]"/>
  </connection>
  <connection id="5" xr16:uid="{2E6F8AFF-DB20-42FB-BC7D-D015E53FCD5E}" keepAlive="1" name="Query - detection_results3 (5)" description="Connessione alla query 'detection_results3 (5)' nella cartella di lavoro." type="5" refreshedVersion="8" background="1" saveData="1">
    <dbPr connection="Provider=Microsoft.Mashup.OleDb.1;Data Source=$Workbook$;Location=&quot;detection_results3 (5)&quot;;Extended Properties=&quot;&quot;" command="SELECT * FROM [detection_results3 (5)]"/>
  </connection>
  <connection id="6" xr16:uid="{9B2C8C55-BE43-4418-AEC6-372FA81C8AC0}" keepAlive="1" name="Query - detection_results3 (6)" description="Connessione alla query 'detection_results3 (6)' nella cartella di lavoro." type="5" refreshedVersion="8" background="1" saveData="1">
    <dbPr connection="Provider=Microsoft.Mashup.OleDb.1;Data Source=$Workbook$;Location=&quot;detection_results3 (6)&quot;;Extended Properties=&quot;&quot;" command="SELECT * FROM [detection_results3 (6)]"/>
  </connection>
</connections>
</file>

<file path=xl/sharedStrings.xml><?xml version="1.0" encoding="utf-8"?>
<sst xmlns="http://schemas.openxmlformats.org/spreadsheetml/2006/main" count="1495" uniqueCount="113">
  <si>
    <t>Column1</t>
  </si>
  <si>
    <t>Column2</t>
  </si>
  <si>
    <t>Column3</t>
  </si>
  <si>
    <t>Column4</t>
  </si>
  <si>
    <t>Column5</t>
  </si>
  <si>
    <t>Column6</t>
  </si>
  <si>
    <t>Column7</t>
  </si>
  <si>
    <t>time</t>
  </si>
  <si>
    <t>index</t>
  </si>
  <si>
    <t>pred</t>
  </si>
  <si>
    <t>label</t>
  </si>
  <si>
    <t>acc</t>
  </si>
  <si>
    <t>f1</t>
  </si>
  <si>
    <t>num_instruments</t>
  </si>
  <si>
    <t>0_0</t>
  </si>
  <si>
    <t>[1, 1, 2]</t>
  </si>
  <si>
    <t>1.0</t>
  </si>
  <si>
    <t>3.0</t>
  </si>
  <si>
    <t>0_1</t>
  </si>
  <si>
    <t>1_0</t>
  </si>
  <si>
    <t>1_1</t>
  </si>
  <si>
    <t>2_0</t>
  </si>
  <si>
    <t>2_1</t>
  </si>
  <si>
    <t>3_0</t>
  </si>
  <si>
    <t>3_1</t>
  </si>
  <si>
    <t>[1, 2]</t>
  </si>
  <si>
    <t>2.0</t>
  </si>
  <si>
    <t>4_0</t>
  </si>
  <si>
    <t>4_1</t>
  </si>
  <si>
    <t>5_0</t>
  </si>
  <si>
    <t>5_1</t>
  </si>
  <si>
    <t>6_0</t>
  </si>
  <si>
    <t>6_1</t>
  </si>
  <si>
    <t>7_0</t>
  </si>
  <si>
    <t>7_1</t>
  </si>
  <si>
    <t>8_0</t>
  </si>
  <si>
    <t>8_1</t>
  </si>
  <si>
    <t>9_0</t>
  </si>
  <si>
    <t>9_1</t>
  </si>
  <si>
    <t>10_0</t>
  </si>
  <si>
    <t>10_1</t>
  </si>
  <si>
    <t>11_0</t>
  </si>
  <si>
    <t>11_1</t>
  </si>
  <si>
    <t>12_0</t>
  </si>
  <si>
    <t>12_1</t>
  </si>
  <si>
    <t>13_0</t>
  </si>
  <si>
    <t>13_1</t>
  </si>
  <si>
    <t>14_0</t>
  </si>
  <si>
    <t>14_1</t>
  </si>
  <si>
    <t>[2, 1, 2]</t>
  </si>
  <si>
    <t>15_0</t>
  </si>
  <si>
    <t>15_1</t>
  </si>
  <si>
    <t>16_0</t>
  </si>
  <si>
    <t>16_1</t>
  </si>
  <si>
    <t>17_0</t>
  </si>
  <si>
    <t>17_1</t>
  </si>
  <si>
    <t>18_0</t>
  </si>
  <si>
    <t>18_1</t>
  </si>
  <si>
    <t>19_0</t>
  </si>
  <si>
    <t>19_1</t>
  </si>
  <si>
    <t>20_0</t>
  </si>
  <si>
    <t>20_1</t>
  </si>
  <si>
    <t>21_0</t>
  </si>
  <si>
    <t>21_1</t>
  </si>
  <si>
    <t>22_0</t>
  </si>
  <si>
    <t>22_1</t>
  </si>
  <si>
    <t>23_0</t>
  </si>
  <si>
    <t>23_1</t>
  </si>
  <si>
    <t>24_0</t>
  </si>
  <si>
    <t>24_1</t>
  </si>
  <si>
    <t>25_0</t>
  </si>
  <si>
    <t>25_1</t>
  </si>
  <si>
    <t>26_0</t>
  </si>
  <si>
    <t>26_1</t>
  </si>
  <si>
    <t>27_0</t>
  </si>
  <si>
    <t>27_1</t>
  </si>
  <si>
    <t>28_0</t>
  </si>
  <si>
    <t>28_1</t>
  </si>
  <si>
    <t>29_0</t>
  </si>
  <si>
    <t>29_1</t>
  </si>
  <si>
    <t>30_0</t>
  </si>
  <si>
    <t>30_1</t>
  </si>
  <si>
    <t>31_0</t>
  </si>
  <si>
    <t>31_1</t>
  </si>
  <si>
    <t>32_0</t>
  </si>
  <si>
    <t>32_1</t>
  </si>
  <si>
    <t>33_0</t>
  </si>
  <si>
    <t>33_1</t>
  </si>
  <si>
    <t>34_0</t>
  </si>
  <si>
    <t>34_1</t>
  </si>
  <si>
    <t>35_0</t>
  </si>
  <si>
    <t>35_1</t>
  </si>
  <si>
    <t>36_0</t>
  </si>
  <si>
    <t>36_1</t>
  </si>
  <si>
    <t>37_0</t>
  </si>
  <si>
    <t>[2, 2]</t>
  </si>
  <si>
    <t>[2, 5]</t>
  </si>
  <si>
    <t>[2, 2, 2]</t>
  </si>
  <si>
    <t>[2]</t>
  </si>
  <si>
    <t>[3]</t>
  </si>
  <si>
    <t>[7, 2]</t>
  </si>
  <si>
    <t>[1, 1]</t>
  </si>
  <si>
    <t>[2, 1]</t>
  </si>
  <si>
    <t>[1]</t>
  </si>
  <si>
    <t>[1, 7]</t>
  </si>
  <si>
    <t>[4, 5]</t>
  </si>
  <si>
    <t>[5, 4]</t>
  </si>
  <si>
    <t>[5, 3]</t>
  </si>
  <si>
    <t>[5]</t>
  </si>
  <si>
    <t>[4]</t>
  </si>
  <si>
    <t>[3, 5]</t>
  </si>
  <si>
    <t>[2, 2, 7]</t>
  </si>
  <si>
    <t>[2,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</si>
</sst>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6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2E292DCD-020C-4CDF-B1BD-7984E1225C0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B98D2889-2A16-4186-8494-D19DB97176A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0B5CBCB6-F46B-4046-9DA9-BF4AFF52CA5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4439242B-C5A3-45A5-A54E-B85A532E93B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D7C7D476-6CBC-408D-B63F-7EB6CA76EE6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FF8AFA-5B49-438B-A751-44FA35085509}" name="detection_results3__6" displayName="detection_results3__6" ref="A1:G78" tableType="queryTable" totalsRowCount="1">
  <autoFilter ref="A1:G77" xr:uid="{A9FF8AFA-5B49-438B-A751-44FA35085509}"/>
  <tableColumns count="7">
    <tableColumn id="1" xr3:uid="{9894CA09-FC3D-48A2-AEA6-591C98BD3E6A}" uniqueName="1" name="Column1" totalsRowFunction="custom" queryTableFieldId="1" dataDxfId="62" totalsRowDxfId="61">
      <totalsRowFormula>AVERAGE(A4:A77)</totalsRowFormula>
    </tableColumn>
    <tableColumn id="2" xr3:uid="{2C94AF87-A1BF-4990-ACC4-F6B753873B44}" uniqueName="2" name="Column2" queryTableFieldId="2" dataDxfId="60" totalsRowDxfId="59"/>
    <tableColumn id="3" xr3:uid="{A1160AEF-CB78-47EB-8393-FC517DB1ABB1}" uniqueName="3" name="Column3" queryTableFieldId="3" dataDxfId="58" totalsRowDxfId="57"/>
    <tableColumn id="4" xr3:uid="{44DACB8E-CD99-441C-8854-938B8760AFAB}" uniqueName="4" name="Column4" queryTableFieldId="4" dataDxfId="56" totalsRowDxfId="55"/>
    <tableColumn id="5" xr3:uid="{C5229FA8-A6B1-4EDB-A2BB-CC91D11B49A8}" uniqueName="5" name="Column5" totalsRowFunction="average" queryTableFieldId="5" dataDxfId="54" totalsRowDxfId="53"/>
    <tableColumn id="6" xr3:uid="{88396873-5A57-4B45-8589-591A681CFD16}" uniqueName="6" name="Column6" totalsRowFunction="average" queryTableFieldId="6" dataDxfId="52" totalsRowDxfId="51"/>
    <tableColumn id="7" xr3:uid="{7408F919-71FC-4200-9061-A763C50B7A9E}" uniqueName="7" name="Column7" queryTableFieldId="7" dataDxfId="50" totalsRowDxf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80153B-D42B-451A-8C07-5931C6045BC7}" name="detection_results3__5" displayName="detection_results3__5" ref="A1:G78" tableType="queryTable" totalsRowCount="1">
  <autoFilter ref="A1:G77" xr:uid="{3580153B-D42B-451A-8C07-5931C6045BC7}"/>
  <tableColumns count="7">
    <tableColumn id="1" xr3:uid="{D063DF46-4A5B-4E54-B6D4-4EA52705B59D}" uniqueName="1" name="Column1" totalsRowFunction="custom" queryTableFieldId="1" dataDxfId="48" totalsRowDxfId="47">
      <totalsRowFormula>AVERAGE(A4:A77)</totalsRowFormula>
    </tableColumn>
    <tableColumn id="2" xr3:uid="{FF6D17AA-B009-4CEA-B5A6-5F7A8842F53E}" uniqueName="2" name="Column2" queryTableFieldId="2" dataDxfId="46" totalsRowDxfId="45"/>
    <tableColumn id="3" xr3:uid="{302E4C50-8BBF-4080-B6D8-7B4FCB3CFA0C}" uniqueName="3" name="Column3" queryTableFieldId="3" dataDxfId="44" totalsRowDxfId="43"/>
    <tableColumn id="4" xr3:uid="{482476A4-5EF2-4533-ABAE-54175BCB93A3}" uniqueName="4" name="Column4" queryTableFieldId="4" dataDxfId="42" totalsRowDxfId="41"/>
    <tableColumn id="5" xr3:uid="{0607C1D9-9119-42C2-97A2-D500AF9FB1D4}" uniqueName="5" name="Column5" totalsRowFunction="average" queryTableFieldId="5" dataDxfId="40" totalsRowDxfId="39"/>
    <tableColumn id="6" xr3:uid="{E1FC85D2-4CF2-4720-A92A-AB5FB225E0FD}" uniqueName="6" name="Column6" totalsRowFunction="average" queryTableFieldId="6" dataDxfId="38" totalsRowDxfId="37"/>
    <tableColumn id="7" xr3:uid="{7A59DF85-181D-4112-AF2A-74A18B82050E}" uniqueName="7" name="Column7" queryTableFieldId="7" dataDxfId="36" totalsRow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9AE958-335E-4F9A-AF5F-BC376F273B4D}" name="detection_results3__4" displayName="detection_results3__4" ref="A1:G78" tableType="queryTable" totalsRowCount="1">
  <autoFilter ref="A1:G77" xr:uid="{7D9AE958-335E-4F9A-AF5F-BC376F273B4D}"/>
  <tableColumns count="7">
    <tableColumn id="1" xr3:uid="{16B42A3F-BB45-4190-9887-BA42DEEA6FD4}" uniqueName="1" name="Column1" totalsRowFunction="custom" queryTableFieldId="1" dataDxfId="34" totalsRowDxfId="33">
      <totalsRowFormula>AVERAGE(A4:A77)</totalsRowFormula>
    </tableColumn>
    <tableColumn id="2" xr3:uid="{357F6B23-CAA0-4B8A-B390-6F012EC72E5F}" uniqueName="2" name="Column2" queryTableFieldId="2" dataDxfId="32" totalsRowDxfId="31"/>
    <tableColumn id="3" xr3:uid="{57E9E8C9-55AB-4479-B078-787C8528882E}" uniqueName="3" name="Column3" queryTableFieldId="3" dataDxfId="30" totalsRowDxfId="29"/>
    <tableColumn id="4" xr3:uid="{7F054E50-EA41-47AD-A37C-DC322962F6FB}" uniqueName="4" name="Column4" queryTableFieldId="4" dataDxfId="28" totalsRowDxfId="27"/>
    <tableColumn id="5" xr3:uid="{F1E90B8F-2032-4B41-8CA7-0C47A33AD264}" uniqueName="5" name="Column5" totalsRowFunction="average" queryTableFieldId="5" dataDxfId="26" totalsRowDxfId="25"/>
    <tableColumn id="6" xr3:uid="{309B3098-014A-4008-A249-A61266221E60}" uniqueName="6" name="Column6" totalsRowFunction="average" queryTableFieldId="6" dataDxfId="24" totalsRowDxfId="23"/>
    <tableColumn id="7" xr3:uid="{2C2A6ABB-5555-4724-9EA8-7BAB6B9C4B41}" uniqueName="7" name="Column7" queryTableFieldId="7" dataDxfId="22" totalsRow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6D3DFD-29DF-4F92-B364-B51E7563566C}" name="detection_results3__3" displayName="detection_results3__3" ref="A1:G80" tableType="queryTable" totalsRowCount="1">
  <autoFilter ref="A1:G79" xr:uid="{086D3DFD-29DF-4F92-B364-B51E7563566C}"/>
  <tableColumns count="7">
    <tableColumn id="1" xr3:uid="{962A5EAA-D628-4321-AA34-BEB718019255}" uniqueName="1" name="Column1" totalsRowFunction="custom" queryTableFieldId="1" dataDxfId="20" totalsRowDxfId="19">
      <totalsRowFormula>AVERAGE(A4:A77)</totalsRowFormula>
    </tableColumn>
    <tableColumn id="2" xr3:uid="{DE5A8B5F-DACE-4A89-8D1B-3B8CC245D195}" uniqueName="2" name="Column2" queryTableFieldId="2" dataDxfId="18" totalsRowDxfId="17"/>
    <tableColumn id="3" xr3:uid="{5CB967F4-0D2D-4040-9916-F0BD2951C7F9}" uniqueName="3" name="Column3" queryTableFieldId="3" dataDxfId="16" totalsRowDxfId="15"/>
    <tableColumn id="4" xr3:uid="{43D23BD3-A29F-42D5-BF2E-A6C4BF53918F}" uniqueName="4" name="Column4" queryTableFieldId="4" dataDxfId="14" totalsRowDxfId="13"/>
    <tableColumn id="5" xr3:uid="{4DC6B82D-1F01-41DB-921F-38E760BFABFA}" uniqueName="5" name="Column5" totalsRowFunction="average" queryTableFieldId="5" dataDxfId="12" totalsRowDxfId="11"/>
    <tableColumn id="6" xr3:uid="{D60E326D-3F47-4B7F-A36E-FD67C7C1F253}" uniqueName="6" name="Column6" totalsRowFunction="average" queryTableFieldId="6" dataDxfId="10" totalsRowDxfId="9"/>
    <tableColumn id="7" xr3:uid="{768E2E55-BCDA-47AB-BA77-F6D8C20892D5}" uniqueName="7" name="Column7" totalsRowFunction="average" queryTableFieldId="7" dataDxfId="8" totalsRow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381C6-1279-44B0-8A71-5B702F21D030}" name="detection_results3__2" displayName="detection_results3__2" ref="A1:G78" tableType="queryTable" totalsRowCount="1">
  <autoFilter ref="A1:G77" xr:uid="{406381C6-1279-44B0-8A71-5B702F21D030}"/>
  <tableColumns count="7">
    <tableColumn id="1" xr3:uid="{794316CA-0204-43A2-B8A6-F89919B3D9C9}" uniqueName="1" name="Column1" totalsRowFunction="custom" queryTableFieldId="1" dataDxfId="6">
      <totalsRowFormula>AVERAGE(A4:A77)</totalsRowFormula>
    </tableColumn>
    <tableColumn id="2" xr3:uid="{350FE80A-9790-496F-B4F8-CCA7CDE72CD9}" uniqueName="2" name="Column2" queryTableFieldId="2" dataDxfId="5"/>
    <tableColumn id="3" xr3:uid="{CBB26772-822D-4C80-BBCB-356FAB1362F7}" uniqueName="3" name="Column3" queryTableFieldId="3" dataDxfId="4"/>
    <tableColumn id="4" xr3:uid="{D39C7310-4338-4772-A540-49D647F979DE}" uniqueName="4" name="Column4" queryTableFieldId="4" dataDxfId="3"/>
    <tableColumn id="5" xr3:uid="{88F5A329-04DA-4995-8308-50A00AD65403}" uniqueName="5" name="Column5" totalsRowFunction="average" queryTableFieldId="5" dataDxfId="2"/>
    <tableColumn id="6" xr3:uid="{F79ECABE-F881-44EF-A111-7CE588895724}" uniqueName="6" name="Column6" totalsRowFunction="average" queryTableFieldId="6" dataDxfId="1"/>
    <tableColumn id="7" xr3:uid="{64F59F22-4968-47EA-968F-DE48C9DC4E7F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DC7E-D93F-4294-8D17-4524FD107717}">
  <dimension ref="A1:G78"/>
  <sheetViews>
    <sheetView topLeftCell="A67" workbookViewId="0">
      <selection activeCell="A78" sqref="A78"/>
    </sheetView>
  </sheetViews>
  <sheetFormatPr defaultRowHeight="15" x14ac:dyDescent="0.25"/>
  <cols>
    <col min="1" max="1" width="18.85546875" bestFit="1" customWidth="1"/>
    <col min="2" max="4" width="11.42578125" bestFit="1" customWidth="1"/>
    <col min="5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>
        <v>4315.8652782440104</v>
      </c>
      <c r="B3" t="s">
        <v>14</v>
      </c>
      <c r="C3" t="s">
        <v>95</v>
      </c>
      <c r="D3" t="s">
        <v>95</v>
      </c>
      <c r="E3">
        <v>1</v>
      </c>
      <c r="F3">
        <v>1</v>
      </c>
      <c r="G3" t="s">
        <v>26</v>
      </c>
    </row>
    <row r="4" spans="1:7" x14ac:dyDescent="0.25">
      <c r="A4">
        <v>42.968273162841797</v>
      </c>
      <c r="B4" t="s">
        <v>18</v>
      </c>
      <c r="C4" t="s">
        <v>95</v>
      </c>
      <c r="D4" t="s">
        <v>95</v>
      </c>
      <c r="E4">
        <v>1</v>
      </c>
      <c r="F4">
        <v>1</v>
      </c>
      <c r="G4" t="s">
        <v>26</v>
      </c>
    </row>
    <row r="5" spans="1:7" x14ac:dyDescent="0.25">
      <c r="A5">
        <v>22.372245788574201</v>
      </c>
      <c r="B5" t="s">
        <v>19</v>
      </c>
      <c r="C5" t="s">
        <v>98</v>
      </c>
      <c r="D5" t="s">
        <v>98</v>
      </c>
      <c r="E5">
        <v>1</v>
      </c>
      <c r="F5">
        <v>1</v>
      </c>
      <c r="G5" t="s">
        <v>16</v>
      </c>
    </row>
    <row r="6" spans="1:7" x14ac:dyDescent="0.25">
      <c r="A6">
        <v>42.534112930297802</v>
      </c>
      <c r="B6" t="s">
        <v>20</v>
      </c>
      <c r="C6" t="s">
        <v>95</v>
      </c>
      <c r="D6" t="s">
        <v>95</v>
      </c>
      <c r="E6">
        <v>1</v>
      </c>
      <c r="F6">
        <v>1</v>
      </c>
      <c r="G6" t="s">
        <v>26</v>
      </c>
    </row>
    <row r="7" spans="1:7" x14ac:dyDescent="0.25">
      <c r="A7">
        <v>41.738033294677699</v>
      </c>
      <c r="B7" t="s">
        <v>21</v>
      </c>
      <c r="C7" t="s">
        <v>95</v>
      </c>
      <c r="D7" t="s">
        <v>95</v>
      </c>
      <c r="E7">
        <v>1</v>
      </c>
      <c r="F7">
        <v>1</v>
      </c>
      <c r="G7" t="s">
        <v>26</v>
      </c>
    </row>
    <row r="8" spans="1:7" x14ac:dyDescent="0.25">
      <c r="A8">
        <v>40.909051895141602</v>
      </c>
      <c r="B8" t="s">
        <v>22</v>
      </c>
      <c r="C8" t="s">
        <v>95</v>
      </c>
      <c r="D8" t="s">
        <v>95</v>
      </c>
      <c r="E8">
        <v>1</v>
      </c>
      <c r="F8">
        <v>1</v>
      </c>
      <c r="G8" t="s">
        <v>26</v>
      </c>
    </row>
    <row r="9" spans="1:7" x14ac:dyDescent="0.25">
      <c r="A9">
        <v>42.421340942382798</v>
      </c>
      <c r="B9" t="s">
        <v>23</v>
      </c>
      <c r="C9" t="s">
        <v>95</v>
      </c>
      <c r="D9" t="s">
        <v>95</v>
      </c>
      <c r="E9">
        <v>1</v>
      </c>
      <c r="F9">
        <v>1</v>
      </c>
      <c r="G9" t="s">
        <v>26</v>
      </c>
    </row>
    <row r="10" spans="1:7" x14ac:dyDescent="0.25">
      <c r="A10">
        <v>41.484832763671797</v>
      </c>
      <c r="B10" t="s">
        <v>24</v>
      </c>
      <c r="C10" t="s">
        <v>95</v>
      </c>
      <c r="D10" t="s">
        <v>95</v>
      </c>
      <c r="E10">
        <v>1</v>
      </c>
      <c r="F10">
        <v>1</v>
      </c>
      <c r="G10" t="s">
        <v>26</v>
      </c>
    </row>
    <row r="11" spans="1:7" x14ac:dyDescent="0.25">
      <c r="A11">
        <v>42.171716690063398</v>
      </c>
      <c r="B11" t="s">
        <v>27</v>
      </c>
      <c r="C11" t="s">
        <v>95</v>
      </c>
      <c r="D11" t="s">
        <v>95</v>
      </c>
      <c r="E11">
        <v>1</v>
      </c>
      <c r="F11">
        <v>1</v>
      </c>
      <c r="G11" t="s">
        <v>26</v>
      </c>
    </row>
    <row r="12" spans="1:7" x14ac:dyDescent="0.25">
      <c r="A12">
        <v>41.756391525268498</v>
      </c>
      <c r="B12" t="s">
        <v>28</v>
      </c>
      <c r="C12" t="s">
        <v>95</v>
      </c>
      <c r="D12" t="s">
        <v>95</v>
      </c>
      <c r="E12">
        <v>1</v>
      </c>
      <c r="F12">
        <v>1</v>
      </c>
      <c r="G12" t="s">
        <v>26</v>
      </c>
    </row>
    <row r="13" spans="1:7" x14ac:dyDescent="0.25">
      <c r="A13">
        <v>22.011756896972599</v>
      </c>
      <c r="B13" t="s">
        <v>29</v>
      </c>
      <c r="C13" t="s">
        <v>98</v>
      </c>
      <c r="D13" t="s">
        <v>98</v>
      </c>
      <c r="E13">
        <v>1</v>
      </c>
      <c r="F13">
        <v>1</v>
      </c>
      <c r="G13" t="s">
        <v>16</v>
      </c>
    </row>
    <row r="14" spans="1:7" x14ac:dyDescent="0.25">
      <c r="A14">
        <v>22.381544113159102</v>
      </c>
      <c r="B14" t="s">
        <v>30</v>
      </c>
      <c r="C14" t="s">
        <v>98</v>
      </c>
      <c r="D14" t="s">
        <v>98</v>
      </c>
      <c r="E14">
        <v>1</v>
      </c>
      <c r="F14">
        <v>1</v>
      </c>
      <c r="G14" t="s">
        <v>16</v>
      </c>
    </row>
    <row r="15" spans="1:7" x14ac:dyDescent="0.25">
      <c r="A15">
        <v>42.4292087554931</v>
      </c>
      <c r="B15" t="s">
        <v>31</v>
      </c>
      <c r="C15" t="s">
        <v>95</v>
      </c>
      <c r="D15" t="s">
        <v>95</v>
      </c>
      <c r="E15">
        <v>1</v>
      </c>
      <c r="F15">
        <v>1</v>
      </c>
      <c r="G15" t="s">
        <v>26</v>
      </c>
    </row>
    <row r="16" spans="1:7" x14ac:dyDescent="0.25">
      <c r="A16">
        <v>41.286230087280202</v>
      </c>
      <c r="B16" t="s">
        <v>32</v>
      </c>
      <c r="C16" t="s">
        <v>95</v>
      </c>
      <c r="D16" t="s">
        <v>95</v>
      </c>
      <c r="E16">
        <v>1</v>
      </c>
      <c r="F16">
        <v>1</v>
      </c>
      <c r="G16" t="s">
        <v>26</v>
      </c>
    </row>
    <row r="17" spans="1:7" x14ac:dyDescent="0.25">
      <c r="A17">
        <v>42.656183242797802</v>
      </c>
      <c r="B17" t="s">
        <v>33</v>
      </c>
      <c r="C17" t="s">
        <v>95</v>
      </c>
      <c r="D17" t="s">
        <v>95</v>
      </c>
      <c r="E17">
        <v>1</v>
      </c>
      <c r="F17">
        <v>1</v>
      </c>
      <c r="G17" t="s">
        <v>26</v>
      </c>
    </row>
    <row r="18" spans="1:7" x14ac:dyDescent="0.25">
      <c r="A18">
        <v>42.567968368530202</v>
      </c>
      <c r="B18" t="s">
        <v>34</v>
      </c>
      <c r="C18" t="s">
        <v>95</v>
      </c>
      <c r="D18" t="s">
        <v>95</v>
      </c>
      <c r="E18">
        <v>1</v>
      </c>
      <c r="F18">
        <v>1</v>
      </c>
      <c r="G18" t="s">
        <v>26</v>
      </c>
    </row>
    <row r="19" spans="1:7" x14ac:dyDescent="0.25">
      <c r="A19">
        <v>41.815280914306598</v>
      </c>
      <c r="B19" t="s">
        <v>35</v>
      </c>
      <c r="C19" t="s">
        <v>95</v>
      </c>
      <c r="D19" t="s">
        <v>95</v>
      </c>
      <c r="E19">
        <v>1</v>
      </c>
      <c r="F19">
        <v>1</v>
      </c>
      <c r="G19" t="s">
        <v>26</v>
      </c>
    </row>
    <row r="20" spans="1:7" x14ac:dyDescent="0.25">
      <c r="A20">
        <v>40.314197540283203</v>
      </c>
      <c r="B20" t="s">
        <v>36</v>
      </c>
      <c r="C20" t="s">
        <v>95</v>
      </c>
      <c r="D20" t="s">
        <v>95</v>
      </c>
      <c r="E20">
        <v>1</v>
      </c>
      <c r="F20">
        <v>1</v>
      </c>
      <c r="G20" t="s">
        <v>26</v>
      </c>
    </row>
    <row r="21" spans="1:7" x14ac:dyDescent="0.25">
      <c r="A21">
        <v>22.631406784057599</v>
      </c>
      <c r="B21" t="s">
        <v>37</v>
      </c>
      <c r="C21" t="s">
        <v>98</v>
      </c>
      <c r="D21" t="s">
        <v>98</v>
      </c>
      <c r="E21">
        <v>1</v>
      </c>
      <c r="F21">
        <v>1</v>
      </c>
      <c r="G21" t="s">
        <v>16</v>
      </c>
    </row>
    <row r="22" spans="1:7" x14ac:dyDescent="0.25">
      <c r="A22">
        <v>40.8313274383544</v>
      </c>
      <c r="B22" t="s">
        <v>38</v>
      </c>
      <c r="C22" t="s">
        <v>95</v>
      </c>
      <c r="D22" t="s">
        <v>95</v>
      </c>
      <c r="E22">
        <v>1</v>
      </c>
      <c r="F22">
        <v>1</v>
      </c>
      <c r="G22" t="s">
        <v>26</v>
      </c>
    </row>
    <row r="23" spans="1:7" x14ac:dyDescent="0.25">
      <c r="A23">
        <v>41.689395904541001</v>
      </c>
      <c r="B23" t="s">
        <v>39</v>
      </c>
      <c r="C23" t="s">
        <v>95</v>
      </c>
      <c r="D23" t="s">
        <v>95</v>
      </c>
      <c r="E23">
        <v>1</v>
      </c>
      <c r="F23">
        <v>1</v>
      </c>
      <c r="G23" t="s">
        <v>26</v>
      </c>
    </row>
    <row r="24" spans="1:7" x14ac:dyDescent="0.25">
      <c r="A24">
        <v>42.268037796020501</v>
      </c>
      <c r="B24" t="s">
        <v>40</v>
      </c>
      <c r="C24" t="s">
        <v>95</v>
      </c>
      <c r="D24" t="s">
        <v>95</v>
      </c>
      <c r="E24">
        <v>1</v>
      </c>
      <c r="F24">
        <v>1</v>
      </c>
      <c r="G24" t="s">
        <v>26</v>
      </c>
    </row>
    <row r="25" spans="1:7" x14ac:dyDescent="0.25">
      <c r="A25">
        <v>24.2009162902832</v>
      </c>
      <c r="B25" t="s">
        <v>41</v>
      </c>
      <c r="C25" t="s">
        <v>98</v>
      </c>
      <c r="D25" t="s">
        <v>98</v>
      </c>
      <c r="E25">
        <v>1</v>
      </c>
      <c r="F25">
        <v>1</v>
      </c>
      <c r="G25" t="s">
        <v>16</v>
      </c>
    </row>
    <row r="26" spans="1:7" x14ac:dyDescent="0.25">
      <c r="A26">
        <v>43.717622756958001</v>
      </c>
      <c r="B26" t="s">
        <v>42</v>
      </c>
      <c r="C26" t="s">
        <v>95</v>
      </c>
      <c r="D26" t="s">
        <v>95</v>
      </c>
      <c r="E26">
        <v>1</v>
      </c>
      <c r="F26">
        <v>1</v>
      </c>
      <c r="G26" t="s">
        <v>26</v>
      </c>
    </row>
    <row r="27" spans="1:7" x14ac:dyDescent="0.25">
      <c r="A27">
        <v>40.653467178344698</v>
      </c>
      <c r="B27" t="s">
        <v>43</v>
      </c>
      <c r="C27" t="s">
        <v>95</v>
      </c>
      <c r="D27" t="s">
        <v>95</v>
      </c>
      <c r="E27">
        <v>1</v>
      </c>
      <c r="F27">
        <v>1</v>
      </c>
      <c r="G27" t="s">
        <v>26</v>
      </c>
    </row>
    <row r="28" spans="1:7" x14ac:dyDescent="0.25">
      <c r="A28">
        <v>40.301561355590799</v>
      </c>
      <c r="B28" t="s">
        <v>44</v>
      </c>
      <c r="C28" t="s">
        <v>95</v>
      </c>
      <c r="D28" t="s">
        <v>95</v>
      </c>
      <c r="E28">
        <v>1</v>
      </c>
      <c r="F28">
        <v>1</v>
      </c>
      <c r="G28" t="s">
        <v>26</v>
      </c>
    </row>
    <row r="29" spans="1:7" x14ac:dyDescent="0.25">
      <c r="A29">
        <v>40.943384170532198</v>
      </c>
      <c r="B29" t="s">
        <v>45</v>
      </c>
      <c r="C29" t="s">
        <v>95</v>
      </c>
      <c r="D29" t="s">
        <v>95</v>
      </c>
      <c r="E29">
        <v>1</v>
      </c>
      <c r="F29">
        <v>1</v>
      </c>
      <c r="G29" t="s">
        <v>26</v>
      </c>
    </row>
    <row r="30" spans="1:7" x14ac:dyDescent="0.25">
      <c r="A30">
        <v>22.820711135864201</v>
      </c>
      <c r="B30" t="s">
        <v>46</v>
      </c>
      <c r="C30" t="s">
        <v>98</v>
      </c>
      <c r="D30" t="s">
        <v>98</v>
      </c>
      <c r="E30">
        <v>1</v>
      </c>
      <c r="F30">
        <v>1</v>
      </c>
      <c r="G30" t="s">
        <v>16</v>
      </c>
    </row>
    <row r="31" spans="1:7" x14ac:dyDescent="0.25">
      <c r="A31">
        <v>41.739463806152301</v>
      </c>
      <c r="B31" t="s">
        <v>47</v>
      </c>
      <c r="C31" t="s">
        <v>95</v>
      </c>
      <c r="D31" t="s">
        <v>95</v>
      </c>
      <c r="E31">
        <v>1</v>
      </c>
      <c r="F31">
        <v>1</v>
      </c>
      <c r="G31" t="s">
        <v>26</v>
      </c>
    </row>
    <row r="32" spans="1:7" x14ac:dyDescent="0.25">
      <c r="A32">
        <v>41.941881179809499</v>
      </c>
      <c r="B32" t="s">
        <v>48</v>
      </c>
      <c r="C32" t="s">
        <v>95</v>
      </c>
      <c r="D32" t="s">
        <v>95</v>
      </c>
      <c r="E32">
        <v>1</v>
      </c>
      <c r="F32">
        <v>1</v>
      </c>
      <c r="G32" t="s">
        <v>26</v>
      </c>
    </row>
    <row r="33" spans="1:7" x14ac:dyDescent="0.25">
      <c r="A33">
        <v>41.821002960205</v>
      </c>
      <c r="B33" t="s">
        <v>50</v>
      </c>
      <c r="C33" t="s">
        <v>95</v>
      </c>
      <c r="D33" t="s">
        <v>95</v>
      </c>
      <c r="E33">
        <v>1</v>
      </c>
      <c r="F33">
        <v>1</v>
      </c>
      <c r="G33" t="s">
        <v>26</v>
      </c>
    </row>
    <row r="34" spans="1:7" x14ac:dyDescent="0.25">
      <c r="A34">
        <v>41.342735290527301</v>
      </c>
      <c r="B34" t="s">
        <v>51</v>
      </c>
      <c r="C34" t="s">
        <v>95</v>
      </c>
      <c r="D34" t="s">
        <v>95</v>
      </c>
      <c r="E34">
        <v>1</v>
      </c>
      <c r="F34">
        <v>1</v>
      </c>
      <c r="G34" t="s">
        <v>26</v>
      </c>
    </row>
    <row r="35" spans="1:7" x14ac:dyDescent="0.25">
      <c r="A35">
        <v>42.345523834228501</v>
      </c>
      <c r="B35" t="s">
        <v>52</v>
      </c>
      <c r="C35" t="s">
        <v>95</v>
      </c>
      <c r="D35" t="s">
        <v>95</v>
      </c>
      <c r="E35">
        <v>1</v>
      </c>
      <c r="F35">
        <v>1</v>
      </c>
      <c r="G35" t="s">
        <v>26</v>
      </c>
    </row>
    <row r="36" spans="1:7" x14ac:dyDescent="0.25">
      <c r="A36">
        <v>41.341781616210902</v>
      </c>
      <c r="B36" t="s">
        <v>53</v>
      </c>
      <c r="C36" t="s">
        <v>95</v>
      </c>
      <c r="D36" t="s">
        <v>95</v>
      </c>
      <c r="E36">
        <v>1</v>
      </c>
      <c r="F36">
        <v>1</v>
      </c>
      <c r="G36" t="s">
        <v>26</v>
      </c>
    </row>
    <row r="37" spans="1:7" x14ac:dyDescent="0.25">
      <c r="A37">
        <v>41.310548782348597</v>
      </c>
      <c r="B37" t="s">
        <v>54</v>
      </c>
      <c r="C37" t="s">
        <v>95</v>
      </c>
      <c r="D37" t="s">
        <v>95</v>
      </c>
      <c r="E37">
        <v>1</v>
      </c>
      <c r="F37">
        <v>1</v>
      </c>
      <c r="G37" t="s">
        <v>26</v>
      </c>
    </row>
    <row r="38" spans="1:7" x14ac:dyDescent="0.25">
      <c r="A38">
        <v>42.8509712219238</v>
      </c>
      <c r="B38" t="s">
        <v>55</v>
      </c>
      <c r="C38" t="s">
        <v>95</v>
      </c>
      <c r="D38" t="s">
        <v>95</v>
      </c>
      <c r="E38">
        <v>1</v>
      </c>
      <c r="F38">
        <v>1</v>
      </c>
      <c r="G38" t="s">
        <v>26</v>
      </c>
    </row>
    <row r="39" spans="1:7" x14ac:dyDescent="0.25">
      <c r="A39">
        <v>41.180372238159102</v>
      </c>
      <c r="B39" t="s">
        <v>56</v>
      </c>
      <c r="C39" t="s">
        <v>96</v>
      </c>
      <c r="D39" t="s">
        <v>95</v>
      </c>
      <c r="E39">
        <v>0.5</v>
      </c>
      <c r="F39">
        <v>0.33333333333333298</v>
      </c>
      <c r="G39" t="s">
        <v>26</v>
      </c>
    </row>
    <row r="40" spans="1:7" x14ac:dyDescent="0.25">
      <c r="A40">
        <v>42.1032905578613</v>
      </c>
      <c r="B40" t="s">
        <v>57</v>
      </c>
      <c r="C40" t="s">
        <v>95</v>
      </c>
      <c r="D40" t="s">
        <v>95</v>
      </c>
      <c r="E40">
        <v>1</v>
      </c>
      <c r="F40">
        <v>1</v>
      </c>
      <c r="G40" t="s">
        <v>26</v>
      </c>
    </row>
    <row r="41" spans="1:7" x14ac:dyDescent="0.25">
      <c r="A41">
        <v>42.575836181640597</v>
      </c>
      <c r="B41" t="s">
        <v>58</v>
      </c>
      <c r="C41" t="s">
        <v>95</v>
      </c>
      <c r="D41" t="s">
        <v>95</v>
      </c>
      <c r="E41">
        <v>1</v>
      </c>
      <c r="F41">
        <v>1</v>
      </c>
      <c r="G41" t="s">
        <v>26</v>
      </c>
    </row>
    <row r="42" spans="1:7" x14ac:dyDescent="0.25">
      <c r="A42">
        <v>40.598392486572202</v>
      </c>
      <c r="B42" t="s">
        <v>59</v>
      </c>
      <c r="C42" t="s">
        <v>95</v>
      </c>
      <c r="D42" t="s">
        <v>95</v>
      </c>
      <c r="E42">
        <v>1</v>
      </c>
      <c r="F42">
        <v>1</v>
      </c>
      <c r="G42" t="s">
        <v>26</v>
      </c>
    </row>
    <row r="43" spans="1:7" x14ac:dyDescent="0.25">
      <c r="A43">
        <v>22.409439086913999</v>
      </c>
      <c r="B43" t="s">
        <v>60</v>
      </c>
      <c r="C43" t="s">
        <v>98</v>
      </c>
      <c r="D43" t="s">
        <v>98</v>
      </c>
      <c r="E43">
        <v>1</v>
      </c>
      <c r="F43">
        <v>1</v>
      </c>
      <c r="G43" t="s">
        <v>16</v>
      </c>
    </row>
    <row r="44" spans="1:7" x14ac:dyDescent="0.25">
      <c r="A44">
        <v>41.517257690429602</v>
      </c>
      <c r="B44" t="s">
        <v>61</v>
      </c>
      <c r="C44" t="s">
        <v>95</v>
      </c>
      <c r="D44" t="s">
        <v>95</v>
      </c>
      <c r="E44">
        <v>1</v>
      </c>
      <c r="F44">
        <v>1</v>
      </c>
      <c r="G44" t="s">
        <v>26</v>
      </c>
    </row>
    <row r="45" spans="1:7" x14ac:dyDescent="0.25">
      <c r="A45">
        <v>40.676355361938398</v>
      </c>
      <c r="B45" t="s">
        <v>62</v>
      </c>
      <c r="C45" t="s">
        <v>95</v>
      </c>
      <c r="D45" t="s">
        <v>95</v>
      </c>
      <c r="E45">
        <v>1</v>
      </c>
      <c r="F45">
        <v>1</v>
      </c>
      <c r="G45" t="s">
        <v>26</v>
      </c>
    </row>
    <row r="46" spans="1:7" x14ac:dyDescent="0.25">
      <c r="A46">
        <v>41.378974914550703</v>
      </c>
      <c r="B46" t="s">
        <v>63</v>
      </c>
      <c r="C46" t="s">
        <v>95</v>
      </c>
      <c r="D46" t="s">
        <v>95</v>
      </c>
      <c r="E46">
        <v>1</v>
      </c>
      <c r="F46">
        <v>1</v>
      </c>
      <c r="G46" t="s">
        <v>26</v>
      </c>
    </row>
    <row r="47" spans="1:7" x14ac:dyDescent="0.25">
      <c r="A47">
        <v>43.047428131103501</v>
      </c>
      <c r="B47" t="s">
        <v>64</v>
      </c>
      <c r="C47" t="s">
        <v>95</v>
      </c>
      <c r="D47" t="s">
        <v>95</v>
      </c>
      <c r="E47">
        <v>1</v>
      </c>
      <c r="F47">
        <v>1</v>
      </c>
      <c r="G47" t="s">
        <v>26</v>
      </c>
    </row>
    <row r="48" spans="1:7" x14ac:dyDescent="0.25">
      <c r="A48">
        <v>22.4359035491943</v>
      </c>
      <c r="B48" t="s">
        <v>65</v>
      </c>
      <c r="C48" t="s">
        <v>98</v>
      </c>
      <c r="D48" t="s">
        <v>98</v>
      </c>
      <c r="E48">
        <v>1</v>
      </c>
      <c r="F48">
        <v>1</v>
      </c>
      <c r="G48" t="s">
        <v>16</v>
      </c>
    </row>
    <row r="49" spans="1:7" x14ac:dyDescent="0.25">
      <c r="A49">
        <v>41.892051696777301</v>
      </c>
      <c r="B49" t="s">
        <v>66</v>
      </c>
      <c r="C49" t="s">
        <v>95</v>
      </c>
      <c r="D49" t="s">
        <v>95</v>
      </c>
      <c r="E49">
        <v>1</v>
      </c>
      <c r="F49">
        <v>1</v>
      </c>
      <c r="G49" t="s">
        <v>26</v>
      </c>
    </row>
    <row r="50" spans="1:7" x14ac:dyDescent="0.25">
      <c r="A50">
        <v>40.517807006835902</v>
      </c>
      <c r="B50" t="s">
        <v>67</v>
      </c>
      <c r="C50" t="s">
        <v>95</v>
      </c>
      <c r="D50" t="s">
        <v>95</v>
      </c>
      <c r="E50">
        <v>1</v>
      </c>
      <c r="F50">
        <v>1</v>
      </c>
      <c r="G50" t="s">
        <v>26</v>
      </c>
    </row>
    <row r="51" spans="1:7" x14ac:dyDescent="0.25">
      <c r="A51">
        <v>41.699647903442298</v>
      </c>
      <c r="B51" t="s">
        <v>68</v>
      </c>
      <c r="C51" t="s">
        <v>95</v>
      </c>
      <c r="D51" t="s">
        <v>95</v>
      </c>
      <c r="E51">
        <v>1</v>
      </c>
      <c r="F51">
        <v>1</v>
      </c>
      <c r="G51" t="s">
        <v>26</v>
      </c>
    </row>
    <row r="52" spans="1:7" x14ac:dyDescent="0.25">
      <c r="A52">
        <v>41.743993759155202</v>
      </c>
      <c r="B52" t="s">
        <v>69</v>
      </c>
      <c r="C52" t="s">
        <v>95</v>
      </c>
      <c r="D52" t="s">
        <v>95</v>
      </c>
      <c r="E52">
        <v>1</v>
      </c>
      <c r="F52">
        <v>1</v>
      </c>
      <c r="G52" t="s">
        <v>26</v>
      </c>
    </row>
    <row r="53" spans="1:7" x14ac:dyDescent="0.25">
      <c r="A53">
        <v>41.596889495849602</v>
      </c>
      <c r="B53" t="s">
        <v>70</v>
      </c>
      <c r="C53" t="s">
        <v>95</v>
      </c>
      <c r="D53" t="s">
        <v>95</v>
      </c>
      <c r="E53">
        <v>1</v>
      </c>
      <c r="F53">
        <v>1</v>
      </c>
      <c r="G53" t="s">
        <v>26</v>
      </c>
    </row>
    <row r="54" spans="1:7" x14ac:dyDescent="0.25">
      <c r="A54">
        <v>41.659355163574197</v>
      </c>
      <c r="B54" t="s">
        <v>71</v>
      </c>
      <c r="C54" t="s">
        <v>95</v>
      </c>
      <c r="D54" t="s">
        <v>95</v>
      </c>
      <c r="E54">
        <v>1</v>
      </c>
      <c r="F54">
        <v>1</v>
      </c>
      <c r="G54" t="s">
        <v>26</v>
      </c>
    </row>
    <row r="55" spans="1:7" x14ac:dyDescent="0.25">
      <c r="A55">
        <v>42.531967163085902</v>
      </c>
      <c r="B55" t="s">
        <v>72</v>
      </c>
      <c r="C55" t="s">
        <v>95</v>
      </c>
      <c r="D55" t="s">
        <v>95</v>
      </c>
      <c r="E55">
        <v>1</v>
      </c>
      <c r="F55">
        <v>1</v>
      </c>
      <c r="G55" t="s">
        <v>26</v>
      </c>
    </row>
    <row r="56" spans="1:7" x14ac:dyDescent="0.25">
      <c r="A56">
        <v>42.531490325927699</v>
      </c>
      <c r="B56" t="s">
        <v>73</v>
      </c>
      <c r="C56" t="s">
        <v>95</v>
      </c>
      <c r="D56" t="s">
        <v>95</v>
      </c>
      <c r="E56">
        <v>1</v>
      </c>
      <c r="F56">
        <v>1</v>
      </c>
      <c r="G56" t="s">
        <v>26</v>
      </c>
    </row>
    <row r="57" spans="1:7" x14ac:dyDescent="0.25">
      <c r="A57">
        <v>61.745405197143498</v>
      </c>
      <c r="B57" t="s">
        <v>74</v>
      </c>
      <c r="C57" t="s">
        <v>111</v>
      </c>
      <c r="D57" t="s">
        <v>97</v>
      </c>
      <c r="E57">
        <v>0.66666666666666596</v>
      </c>
      <c r="F57">
        <v>0.4</v>
      </c>
      <c r="G57" t="s">
        <v>17</v>
      </c>
    </row>
    <row r="58" spans="1:7" x14ac:dyDescent="0.25">
      <c r="A58">
        <v>41.395187377929602</v>
      </c>
      <c r="B58" t="s">
        <v>75</v>
      </c>
      <c r="C58" t="s">
        <v>95</v>
      </c>
      <c r="D58" t="s">
        <v>95</v>
      </c>
      <c r="E58">
        <v>1</v>
      </c>
      <c r="F58">
        <v>1</v>
      </c>
      <c r="G58" t="s">
        <v>26</v>
      </c>
    </row>
    <row r="59" spans="1:7" x14ac:dyDescent="0.25">
      <c r="A59">
        <v>42.506694793701101</v>
      </c>
      <c r="B59" t="s">
        <v>76</v>
      </c>
      <c r="C59" t="s">
        <v>95</v>
      </c>
      <c r="D59" t="s">
        <v>95</v>
      </c>
      <c r="E59">
        <v>1</v>
      </c>
      <c r="F59">
        <v>1</v>
      </c>
      <c r="G59" t="s">
        <v>26</v>
      </c>
    </row>
    <row r="60" spans="1:7" x14ac:dyDescent="0.25">
      <c r="A60">
        <v>23.995876312255799</v>
      </c>
      <c r="B60" t="s">
        <v>77</v>
      </c>
      <c r="C60" t="s">
        <v>98</v>
      </c>
      <c r="D60" t="s">
        <v>98</v>
      </c>
      <c r="E60">
        <v>1</v>
      </c>
      <c r="F60">
        <v>1</v>
      </c>
      <c r="G60" t="s">
        <v>16</v>
      </c>
    </row>
    <row r="61" spans="1:7" x14ac:dyDescent="0.25">
      <c r="A61">
        <v>41.621923446655202</v>
      </c>
      <c r="B61" t="s">
        <v>78</v>
      </c>
      <c r="C61" t="s">
        <v>95</v>
      </c>
      <c r="D61" t="s">
        <v>95</v>
      </c>
      <c r="E61">
        <v>1</v>
      </c>
      <c r="F61">
        <v>1</v>
      </c>
      <c r="G61" t="s">
        <v>26</v>
      </c>
    </row>
    <row r="62" spans="1:7" x14ac:dyDescent="0.25">
      <c r="A62">
        <v>40.170192718505803</v>
      </c>
      <c r="B62" t="s">
        <v>79</v>
      </c>
      <c r="C62" t="s">
        <v>95</v>
      </c>
      <c r="D62" t="s">
        <v>95</v>
      </c>
      <c r="E62">
        <v>1</v>
      </c>
      <c r="F62">
        <v>1</v>
      </c>
      <c r="G62" t="s">
        <v>26</v>
      </c>
    </row>
    <row r="63" spans="1:7" x14ac:dyDescent="0.25">
      <c r="A63">
        <v>41.036844253540004</v>
      </c>
      <c r="B63" t="s">
        <v>80</v>
      </c>
      <c r="C63" t="s">
        <v>95</v>
      </c>
      <c r="D63" t="s">
        <v>95</v>
      </c>
      <c r="E63">
        <v>1</v>
      </c>
      <c r="F63">
        <v>1</v>
      </c>
      <c r="G63" t="s">
        <v>26</v>
      </c>
    </row>
    <row r="64" spans="1:7" x14ac:dyDescent="0.25">
      <c r="A64">
        <v>41.818618774413999</v>
      </c>
      <c r="B64" t="s">
        <v>81</v>
      </c>
      <c r="C64" t="s">
        <v>95</v>
      </c>
      <c r="D64" t="s">
        <v>95</v>
      </c>
      <c r="E64">
        <v>1</v>
      </c>
      <c r="F64">
        <v>1</v>
      </c>
      <c r="G64" t="s">
        <v>26</v>
      </c>
    </row>
    <row r="65" spans="1:7" x14ac:dyDescent="0.25">
      <c r="A65">
        <v>42.796134948730398</v>
      </c>
      <c r="B65" t="s">
        <v>82</v>
      </c>
      <c r="C65" t="s">
        <v>95</v>
      </c>
      <c r="D65" t="s">
        <v>95</v>
      </c>
      <c r="E65">
        <v>1</v>
      </c>
      <c r="F65">
        <v>1</v>
      </c>
      <c r="G65" t="s">
        <v>26</v>
      </c>
    </row>
    <row r="66" spans="1:7" x14ac:dyDescent="0.25">
      <c r="A66">
        <v>24.3022441864013</v>
      </c>
      <c r="B66" t="s">
        <v>83</v>
      </c>
      <c r="C66" t="s">
        <v>98</v>
      </c>
      <c r="D66" t="s">
        <v>98</v>
      </c>
      <c r="E66">
        <v>1</v>
      </c>
      <c r="F66">
        <v>1</v>
      </c>
      <c r="G66" t="s">
        <v>16</v>
      </c>
    </row>
    <row r="67" spans="1:7" x14ac:dyDescent="0.25">
      <c r="A67">
        <v>23.2226848602294</v>
      </c>
      <c r="B67" t="s">
        <v>84</v>
      </c>
      <c r="C67" t="s">
        <v>98</v>
      </c>
      <c r="D67" t="s">
        <v>98</v>
      </c>
      <c r="E67">
        <v>1</v>
      </c>
      <c r="F67">
        <v>1</v>
      </c>
      <c r="G67" t="s">
        <v>16</v>
      </c>
    </row>
    <row r="68" spans="1:7" x14ac:dyDescent="0.25">
      <c r="A68">
        <v>41.193962097167898</v>
      </c>
      <c r="B68" t="s">
        <v>85</v>
      </c>
      <c r="C68" t="s">
        <v>95</v>
      </c>
      <c r="D68" t="s">
        <v>95</v>
      </c>
      <c r="E68">
        <v>1</v>
      </c>
      <c r="F68">
        <v>1</v>
      </c>
      <c r="G68" t="s">
        <v>26</v>
      </c>
    </row>
    <row r="69" spans="1:7" x14ac:dyDescent="0.25">
      <c r="A69">
        <v>22.2918987274169</v>
      </c>
      <c r="B69" t="s">
        <v>86</v>
      </c>
      <c r="C69" t="s">
        <v>98</v>
      </c>
      <c r="D69" t="s">
        <v>98</v>
      </c>
      <c r="E69">
        <v>1</v>
      </c>
      <c r="F69">
        <v>1</v>
      </c>
      <c r="G69" t="s">
        <v>16</v>
      </c>
    </row>
    <row r="70" spans="1:7" x14ac:dyDescent="0.25">
      <c r="A70">
        <v>41.222572326660099</v>
      </c>
      <c r="B70" t="s">
        <v>87</v>
      </c>
      <c r="C70" t="s">
        <v>95</v>
      </c>
      <c r="D70" t="s">
        <v>95</v>
      </c>
      <c r="E70">
        <v>1</v>
      </c>
      <c r="F70">
        <v>1</v>
      </c>
      <c r="G70" t="s">
        <v>26</v>
      </c>
    </row>
    <row r="71" spans="1:7" x14ac:dyDescent="0.25">
      <c r="A71">
        <v>41.621685028076101</v>
      </c>
      <c r="B71" t="s">
        <v>88</v>
      </c>
      <c r="C71" t="s">
        <v>95</v>
      </c>
      <c r="D71" t="s">
        <v>95</v>
      </c>
      <c r="E71">
        <v>1</v>
      </c>
      <c r="F71">
        <v>1</v>
      </c>
      <c r="G71" t="s">
        <v>26</v>
      </c>
    </row>
    <row r="72" spans="1:7" x14ac:dyDescent="0.25">
      <c r="A72">
        <v>41.980743408203097</v>
      </c>
      <c r="B72" t="s">
        <v>89</v>
      </c>
      <c r="C72" t="s">
        <v>95</v>
      </c>
      <c r="D72" t="s">
        <v>95</v>
      </c>
      <c r="E72">
        <v>1</v>
      </c>
      <c r="F72">
        <v>1</v>
      </c>
      <c r="G72" t="s">
        <v>26</v>
      </c>
    </row>
    <row r="73" spans="1:7" x14ac:dyDescent="0.25">
      <c r="A73">
        <v>41.874170303344698</v>
      </c>
      <c r="B73" t="s">
        <v>90</v>
      </c>
      <c r="C73" t="s">
        <v>95</v>
      </c>
      <c r="D73" t="s">
        <v>95</v>
      </c>
      <c r="E73">
        <v>1</v>
      </c>
      <c r="F73">
        <v>1</v>
      </c>
      <c r="G73" t="s">
        <v>26</v>
      </c>
    </row>
    <row r="74" spans="1:7" x14ac:dyDescent="0.25">
      <c r="A74">
        <v>40.283203125</v>
      </c>
      <c r="B74" t="s">
        <v>91</v>
      </c>
      <c r="C74" t="s">
        <v>95</v>
      </c>
      <c r="D74" t="s">
        <v>95</v>
      </c>
      <c r="E74">
        <v>1</v>
      </c>
      <c r="F74">
        <v>1</v>
      </c>
      <c r="G74" t="s">
        <v>26</v>
      </c>
    </row>
    <row r="75" spans="1:7" x14ac:dyDescent="0.25">
      <c r="A75">
        <v>40.820598602294901</v>
      </c>
      <c r="B75" t="s">
        <v>92</v>
      </c>
      <c r="C75" t="s">
        <v>95</v>
      </c>
      <c r="D75" t="s">
        <v>95</v>
      </c>
      <c r="E75">
        <v>1</v>
      </c>
      <c r="F75">
        <v>1</v>
      </c>
      <c r="G75" t="s">
        <v>26</v>
      </c>
    </row>
    <row r="76" spans="1:7" x14ac:dyDescent="0.25">
      <c r="A76">
        <v>22.529363632202099</v>
      </c>
      <c r="B76" t="s">
        <v>93</v>
      </c>
      <c r="C76" t="s">
        <v>98</v>
      </c>
      <c r="D76" t="s">
        <v>98</v>
      </c>
      <c r="E76">
        <v>1</v>
      </c>
      <c r="F76">
        <v>1</v>
      </c>
      <c r="G76" t="s">
        <v>16</v>
      </c>
    </row>
    <row r="77" spans="1:7" x14ac:dyDescent="0.25">
      <c r="A77">
        <v>40.418386459350501</v>
      </c>
      <c r="B77" t="s">
        <v>94</v>
      </c>
      <c r="C77" t="s">
        <v>112</v>
      </c>
      <c r="D77" t="s">
        <v>95</v>
      </c>
      <c r="E77">
        <v>0.5</v>
      </c>
      <c r="F77">
        <v>0.33333333333333298</v>
      </c>
      <c r="G77" t="s">
        <v>26</v>
      </c>
    </row>
    <row r="78" spans="1:7" x14ac:dyDescent="0.25">
      <c r="A78">
        <f>AVERAGE(A4:A77)</f>
        <v>38.64209394197205</v>
      </c>
      <c r="E78">
        <f>SUBTOTAL(101,detection_results3__6[Column5])</f>
        <v>0.98222222222222211</v>
      </c>
      <c r="F78">
        <f>SUBTOTAL(101,detection_results3__6[Column6])</f>
        <v>0.97422222222222221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C70-A7D1-4FAB-8D7D-D81719476E49}">
  <dimension ref="A1:G78"/>
  <sheetViews>
    <sheetView tabSelected="1" topLeftCell="A52" workbookViewId="0">
      <selection activeCell="A78" sqref="A78"/>
    </sheetView>
  </sheetViews>
  <sheetFormatPr defaultRowHeight="15" x14ac:dyDescent="0.25"/>
  <cols>
    <col min="1" max="1" width="18.85546875" bestFit="1" customWidth="1"/>
    <col min="2" max="5" width="11.42578125" bestFit="1" customWidth="1"/>
    <col min="6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>
        <v>4309.1917037963804</v>
      </c>
      <c r="B3" t="s">
        <v>14</v>
      </c>
      <c r="C3" t="s">
        <v>105</v>
      </c>
      <c r="D3" t="s">
        <v>105</v>
      </c>
      <c r="E3">
        <v>1</v>
      </c>
      <c r="F3">
        <v>1</v>
      </c>
      <c r="G3" t="s">
        <v>26</v>
      </c>
    </row>
    <row r="4" spans="1:7" x14ac:dyDescent="0.25">
      <c r="A4">
        <v>45.952796936035099</v>
      </c>
      <c r="B4" t="s">
        <v>18</v>
      </c>
      <c r="C4" t="s">
        <v>106</v>
      </c>
      <c r="D4" t="s">
        <v>106</v>
      </c>
      <c r="E4">
        <v>1</v>
      </c>
      <c r="F4">
        <v>1</v>
      </c>
      <c r="G4" t="s">
        <v>26</v>
      </c>
    </row>
    <row r="5" spans="1:7" x14ac:dyDescent="0.25">
      <c r="A5">
        <v>45.508623123168903</v>
      </c>
      <c r="B5" t="s">
        <v>19</v>
      </c>
      <c r="C5" t="s">
        <v>107</v>
      </c>
      <c r="D5" t="s">
        <v>106</v>
      </c>
      <c r="E5">
        <v>0.5</v>
      </c>
      <c r="F5">
        <v>0.33333333333333298</v>
      </c>
      <c r="G5" t="s">
        <v>26</v>
      </c>
    </row>
    <row r="6" spans="1:7" x14ac:dyDescent="0.25">
      <c r="A6">
        <v>46.610593795776303</v>
      </c>
      <c r="B6" t="s">
        <v>20</v>
      </c>
      <c r="C6" t="s">
        <v>105</v>
      </c>
      <c r="D6" t="s">
        <v>105</v>
      </c>
      <c r="E6">
        <v>1</v>
      </c>
      <c r="F6">
        <v>1</v>
      </c>
      <c r="G6" t="s">
        <v>26</v>
      </c>
    </row>
    <row r="7" spans="1:7" x14ac:dyDescent="0.25">
      <c r="A7">
        <v>45.674324035644503</v>
      </c>
      <c r="B7" t="s">
        <v>21</v>
      </c>
      <c r="C7" t="s">
        <v>105</v>
      </c>
      <c r="D7" t="s">
        <v>105</v>
      </c>
      <c r="E7">
        <v>1</v>
      </c>
      <c r="F7">
        <v>1</v>
      </c>
      <c r="G7" t="s">
        <v>26</v>
      </c>
    </row>
    <row r="8" spans="1:7" x14ac:dyDescent="0.25">
      <c r="A8">
        <v>43.704271316528299</v>
      </c>
      <c r="B8" t="s">
        <v>22</v>
      </c>
      <c r="C8" t="s">
        <v>106</v>
      </c>
      <c r="D8" t="s">
        <v>106</v>
      </c>
      <c r="E8">
        <v>1</v>
      </c>
      <c r="F8">
        <v>1</v>
      </c>
      <c r="G8" t="s">
        <v>26</v>
      </c>
    </row>
    <row r="9" spans="1:7" x14ac:dyDescent="0.25">
      <c r="A9">
        <v>46.106815338134702</v>
      </c>
      <c r="B9" t="s">
        <v>23</v>
      </c>
      <c r="C9" t="s">
        <v>105</v>
      </c>
      <c r="D9" t="s">
        <v>105</v>
      </c>
      <c r="E9">
        <v>1</v>
      </c>
      <c r="F9">
        <v>1</v>
      </c>
      <c r="G9" t="s">
        <v>26</v>
      </c>
    </row>
    <row r="10" spans="1:7" x14ac:dyDescent="0.25">
      <c r="A10">
        <v>45.306682586669901</v>
      </c>
      <c r="B10" t="s">
        <v>24</v>
      </c>
      <c r="C10" t="s">
        <v>105</v>
      </c>
      <c r="D10" t="s">
        <v>105</v>
      </c>
      <c r="E10">
        <v>1</v>
      </c>
      <c r="F10">
        <v>1</v>
      </c>
      <c r="G10" t="s">
        <v>26</v>
      </c>
    </row>
    <row r="11" spans="1:7" x14ac:dyDescent="0.25">
      <c r="A11">
        <v>45.116424560546797</v>
      </c>
      <c r="B11" t="s">
        <v>27</v>
      </c>
      <c r="C11" t="s">
        <v>105</v>
      </c>
      <c r="D11" t="s">
        <v>105</v>
      </c>
      <c r="E11">
        <v>1</v>
      </c>
      <c r="F11">
        <v>1</v>
      </c>
      <c r="G11" t="s">
        <v>26</v>
      </c>
    </row>
    <row r="12" spans="1:7" x14ac:dyDescent="0.25">
      <c r="A12">
        <v>45.071840286254798</v>
      </c>
      <c r="B12" t="s">
        <v>28</v>
      </c>
      <c r="C12" t="s">
        <v>105</v>
      </c>
      <c r="D12" t="s">
        <v>105</v>
      </c>
      <c r="E12">
        <v>1</v>
      </c>
      <c r="F12">
        <v>1</v>
      </c>
      <c r="G12" t="s">
        <v>26</v>
      </c>
    </row>
    <row r="13" spans="1:7" x14ac:dyDescent="0.25">
      <c r="A13">
        <v>43.469429016113203</v>
      </c>
      <c r="B13" t="s">
        <v>29</v>
      </c>
      <c r="C13" t="s">
        <v>105</v>
      </c>
      <c r="D13" t="s">
        <v>105</v>
      </c>
      <c r="E13">
        <v>1</v>
      </c>
      <c r="F13">
        <v>1</v>
      </c>
      <c r="G13" t="s">
        <v>26</v>
      </c>
    </row>
    <row r="14" spans="1:7" x14ac:dyDescent="0.25">
      <c r="A14">
        <v>46.550750732421797</v>
      </c>
      <c r="B14" t="s">
        <v>30</v>
      </c>
      <c r="C14" t="s">
        <v>105</v>
      </c>
      <c r="D14" t="s">
        <v>105</v>
      </c>
      <c r="E14">
        <v>1</v>
      </c>
      <c r="F14">
        <v>1</v>
      </c>
      <c r="G14" t="s">
        <v>26</v>
      </c>
    </row>
    <row r="15" spans="1:7" x14ac:dyDescent="0.25">
      <c r="A15">
        <v>46.288013458251903</v>
      </c>
      <c r="B15" t="s">
        <v>31</v>
      </c>
      <c r="C15" t="s">
        <v>105</v>
      </c>
      <c r="D15" t="s">
        <v>105</v>
      </c>
      <c r="E15">
        <v>1</v>
      </c>
      <c r="F15">
        <v>1</v>
      </c>
      <c r="G15" t="s">
        <v>26</v>
      </c>
    </row>
    <row r="16" spans="1:7" x14ac:dyDescent="0.25">
      <c r="A16">
        <v>44.8672771453857</v>
      </c>
      <c r="B16" t="s">
        <v>32</v>
      </c>
      <c r="C16" t="s">
        <v>105</v>
      </c>
      <c r="D16" t="s">
        <v>105</v>
      </c>
      <c r="E16">
        <v>1</v>
      </c>
      <c r="F16">
        <v>1</v>
      </c>
      <c r="G16" t="s">
        <v>26</v>
      </c>
    </row>
    <row r="17" spans="1:7" x14ac:dyDescent="0.25">
      <c r="A17">
        <v>45.500993728637603</v>
      </c>
      <c r="B17" t="s">
        <v>33</v>
      </c>
      <c r="C17" t="s">
        <v>105</v>
      </c>
      <c r="D17" t="s">
        <v>105</v>
      </c>
      <c r="E17">
        <v>1</v>
      </c>
      <c r="F17">
        <v>1</v>
      </c>
      <c r="G17" t="s">
        <v>26</v>
      </c>
    </row>
    <row r="18" spans="1:7" x14ac:dyDescent="0.25">
      <c r="A18">
        <v>27.130126953125</v>
      </c>
      <c r="B18" t="s">
        <v>34</v>
      </c>
      <c r="C18" t="s">
        <v>108</v>
      </c>
      <c r="D18" t="s">
        <v>109</v>
      </c>
      <c r="E18">
        <v>0</v>
      </c>
      <c r="F18">
        <v>0</v>
      </c>
      <c r="G18" t="s">
        <v>16</v>
      </c>
    </row>
    <row r="19" spans="1:7" x14ac:dyDescent="0.25">
      <c r="A19">
        <v>45.226335525512603</v>
      </c>
      <c r="B19" t="s">
        <v>35</v>
      </c>
      <c r="C19" t="s">
        <v>106</v>
      </c>
      <c r="D19" t="s">
        <v>106</v>
      </c>
      <c r="E19">
        <v>1</v>
      </c>
      <c r="F19">
        <v>1</v>
      </c>
      <c r="G19" t="s">
        <v>26</v>
      </c>
    </row>
    <row r="20" spans="1:7" x14ac:dyDescent="0.25">
      <c r="A20">
        <v>45.340776443481403</v>
      </c>
      <c r="B20" t="s">
        <v>36</v>
      </c>
      <c r="C20" t="s">
        <v>105</v>
      </c>
      <c r="D20" t="s">
        <v>105</v>
      </c>
      <c r="E20">
        <v>1</v>
      </c>
      <c r="F20">
        <v>1</v>
      </c>
      <c r="G20" t="s">
        <v>26</v>
      </c>
    </row>
    <row r="21" spans="1:7" x14ac:dyDescent="0.25">
      <c r="A21">
        <v>43.178558349609297</v>
      </c>
      <c r="B21" t="s">
        <v>37</v>
      </c>
      <c r="C21" t="s">
        <v>106</v>
      </c>
      <c r="D21" t="s">
        <v>106</v>
      </c>
      <c r="E21">
        <v>1</v>
      </c>
      <c r="F21">
        <v>1</v>
      </c>
      <c r="G21" t="s">
        <v>26</v>
      </c>
    </row>
    <row r="22" spans="1:7" x14ac:dyDescent="0.25">
      <c r="A22">
        <v>47.018051147460902</v>
      </c>
      <c r="B22" t="s">
        <v>38</v>
      </c>
      <c r="C22" t="s">
        <v>105</v>
      </c>
      <c r="D22" t="s">
        <v>105</v>
      </c>
      <c r="E22">
        <v>1</v>
      </c>
      <c r="F22">
        <v>1</v>
      </c>
      <c r="G22" t="s">
        <v>26</v>
      </c>
    </row>
    <row r="23" spans="1:7" x14ac:dyDescent="0.25">
      <c r="A23">
        <v>44.223785400390597</v>
      </c>
      <c r="B23" t="s">
        <v>39</v>
      </c>
      <c r="C23" t="s">
        <v>105</v>
      </c>
      <c r="D23" t="s">
        <v>105</v>
      </c>
      <c r="E23">
        <v>1</v>
      </c>
      <c r="F23">
        <v>1</v>
      </c>
      <c r="G23" t="s">
        <v>26</v>
      </c>
    </row>
    <row r="24" spans="1:7" x14ac:dyDescent="0.25">
      <c r="A24">
        <v>47.349214553833001</v>
      </c>
      <c r="B24" t="s">
        <v>40</v>
      </c>
      <c r="C24" t="s">
        <v>105</v>
      </c>
      <c r="D24" t="s">
        <v>105</v>
      </c>
      <c r="E24">
        <v>1</v>
      </c>
      <c r="F24">
        <v>1</v>
      </c>
      <c r="G24" t="s">
        <v>26</v>
      </c>
    </row>
    <row r="25" spans="1:7" x14ac:dyDescent="0.25">
      <c r="A25">
        <v>45.545578002929602</v>
      </c>
      <c r="B25" t="s">
        <v>41</v>
      </c>
      <c r="C25" t="s">
        <v>105</v>
      </c>
      <c r="D25" t="s">
        <v>105</v>
      </c>
      <c r="E25">
        <v>1</v>
      </c>
      <c r="F25">
        <v>1</v>
      </c>
      <c r="G25" t="s">
        <v>26</v>
      </c>
    </row>
    <row r="26" spans="1:7" x14ac:dyDescent="0.25">
      <c r="A26">
        <v>46.655178070068303</v>
      </c>
      <c r="B26" t="s">
        <v>42</v>
      </c>
      <c r="C26" t="s">
        <v>105</v>
      </c>
      <c r="D26" t="s">
        <v>105</v>
      </c>
      <c r="E26">
        <v>1</v>
      </c>
      <c r="F26">
        <v>1</v>
      </c>
      <c r="G26" t="s">
        <v>26</v>
      </c>
    </row>
    <row r="27" spans="1:7" x14ac:dyDescent="0.25">
      <c r="A27">
        <v>45.465230941772397</v>
      </c>
      <c r="B27" t="s">
        <v>43</v>
      </c>
      <c r="C27" t="s">
        <v>105</v>
      </c>
      <c r="D27" t="s">
        <v>105</v>
      </c>
      <c r="E27">
        <v>1</v>
      </c>
      <c r="F27">
        <v>1</v>
      </c>
      <c r="G27" t="s">
        <v>26</v>
      </c>
    </row>
    <row r="28" spans="1:7" x14ac:dyDescent="0.25">
      <c r="A28">
        <v>42.987585067749002</v>
      </c>
      <c r="B28" t="s">
        <v>44</v>
      </c>
      <c r="C28" t="s">
        <v>106</v>
      </c>
      <c r="D28" t="s">
        <v>106</v>
      </c>
      <c r="E28">
        <v>1</v>
      </c>
      <c r="F28">
        <v>1</v>
      </c>
      <c r="G28" t="s">
        <v>26</v>
      </c>
    </row>
    <row r="29" spans="1:7" x14ac:dyDescent="0.25">
      <c r="A29">
        <v>25.8619785308837</v>
      </c>
      <c r="B29" t="s">
        <v>45</v>
      </c>
      <c r="C29" t="s">
        <v>108</v>
      </c>
      <c r="D29" t="s">
        <v>108</v>
      </c>
      <c r="E29">
        <v>1</v>
      </c>
      <c r="F29">
        <v>1</v>
      </c>
      <c r="G29" t="s">
        <v>16</v>
      </c>
    </row>
    <row r="30" spans="1:7" x14ac:dyDescent="0.25">
      <c r="A30">
        <v>45.097112655639599</v>
      </c>
      <c r="B30" t="s">
        <v>46</v>
      </c>
      <c r="C30" t="s">
        <v>106</v>
      </c>
      <c r="D30" t="s">
        <v>106</v>
      </c>
      <c r="E30">
        <v>1</v>
      </c>
      <c r="F30">
        <v>1</v>
      </c>
      <c r="G30" t="s">
        <v>26</v>
      </c>
    </row>
    <row r="31" spans="1:7" x14ac:dyDescent="0.25">
      <c r="A31">
        <v>46.480655670166001</v>
      </c>
      <c r="B31" t="s">
        <v>47</v>
      </c>
      <c r="C31" t="s">
        <v>105</v>
      </c>
      <c r="D31" t="s">
        <v>105</v>
      </c>
      <c r="E31">
        <v>1</v>
      </c>
      <c r="F31">
        <v>1</v>
      </c>
      <c r="G31" t="s">
        <v>26</v>
      </c>
    </row>
    <row r="32" spans="1:7" x14ac:dyDescent="0.25">
      <c r="A32">
        <v>43.221712112426701</v>
      </c>
      <c r="B32" t="s">
        <v>48</v>
      </c>
      <c r="C32" t="s">
        <v>106</v>
      </c>
      <c r="D32" t="s">
        <v>106</v>
      </c>
      <c r="E32">
        <v>1</v>
      </c>
      <c r="F32">
        <v>1</v>
      </c>
      <c r="G32" t="s">
        <v>26</v>
      </c>
    </row>
    <row r="33" spans="1:7" x14ac:dyDescent="0.25">
      <c r="A33">
        <v>44.570446014404297</v>
      </c>
      <c r="B33" t="s">
        <v>50</v>
      </c>
      <c r="C33" t="s">
        <v>105</v>
      </c>
      <c r="D33" t="s">
        <v>105</v>
      </c>
      <c r="E33">
        <v>1</v>
      </c>
      <c r="F33">
        <v>1</v>
      </c>
      <c r="G33" t="s">
        <v>26</v>
      </c>
    </row>
    <row r="34" spans="1:7" x14ac:dyDescent="0.25">
      <c r="A34">
        <v>43.362855911254798</v>
      </c>
      <c r="B34" t="s">
        <v>51</v>
      </c>
      <c r="C34" t="s">
        <v>105</v>
      </c>
      <c r="D34" t="s">
        <v>105</v>
      </c>
      <c r="E34">
        <v>1</v>
      </c>
      <c r="F34">
        <v>1</v>
      </c>
      <c r="G34" t="s">
        <v>26</v>
      </c>
    </row>
    <row r="35" spans="1:7" x14ac:dyDescent="0.25">
      <c r="A35">
        <v>44.965267181396399</v>
      </c>
      <c r="B35" t="s">
        <v>52</v>
      </c>
      <c r="C35" t="s">
        <v>106</v>
      </c>
      <c r="D35" t="s">
        <v>106</v>
      </c>
      <c r="E35">
        <v>1</v>
      </c>
      <c r="F35">
        <v>1</v>
      </c>
      <c r="G35" t="s">
        <v>26</v>
      </c>
    </row>
    <row r="36" spans="1:7" x14ac:dyDescent="0.25">
      <c r="A36">
        <v>44.378280639648402</v>
      </c>
      <c r="B36" t="s">
        <v>53</v>
      </c>
      <c r="C36" t="s">
        <v>105</v>
      </c>
      <c r="D36" t="s">
        <v>105</v>
      </c>
      <c r="E36">
        <v>1</v>
      </c>
      <c r="F36">
        <v>1</v>
      </c>
      <c r="G36" t="s">
        <v>26</v>
      </c>
    </row>
    <row r="37" spans="1:7" x14ac:dyDescent="0.25">
      <c r="A37">
        <v>47.566413879394503</v>
      </c>
      <c r="B37" t="s">
        <v>54</v>
      </c>
      <c r="C37" t="s">
        <v>105</v>
      </c>
      <c r="D37" t="s">
        <v>105</v>
      </c>
      <c r="E37">
        <v>1</v>
      </c>
      <c r="F37">
        <v>1</v>
      </c>
      <c r="G37" t="s">
        <v>26</v>
      </c>
    </row>
    <row r="38" spans="1:7" x14ac:dyDescent="0.25">
      <c r="A38">
        <v>45.302629470825103</v>
      </c>
      <c r="B38" t="s">
        <v>55</v>
      </c>
      <c r="C38" t="s">
        <v>106</v>
      </c>
      <c r="D38" t="s">
        <v>106</v>
      </c>
      <c r="E38">
        <v>1</v>
      </c>
      <c r="F38">
        <v>1</v>
      </c>
      <c r="G38" t="s">
        <v>26</v>
      </c>
    </row>
    <row r="39" spans="1:7" x14ac:dyDescent="0.25">
      <c r="A39">
        <v>44.961452484130803</v>
      </c>
      <c r="B39" t="s">
        <v>56</v>
      </c>
      <c r="C39" t="s">
        <v>105</v>
      </c>
      <c r="D39" t="s">
        <v>105</v>
      </c>
      <c r="E39">
        <v>1</v>
      </c>
      <c r="F39">
        <v>1</v>
      </c>
      <c r="G39" t="s">
        <v>26</v>
      </c>
    </row>
    <row r="40" spans="1:7" x14ac:dyDescent="0.25">
      <c r="A40">
        <v>45.211553573608398</v>
      </c>
      <c r="B40" t="s">
        <v>57</v>
      </c>
      <c r="C40" t="s">
        <v>105</v>
      </c>
      <c r="D40" t="s">
        <v>105</v>
      </c>
      <c r="E40">
        <v>1</v>
      </c>
      <c r="F40">
        <v>1</v>
      </c>
      <c r="G40" t="s">
        <v>26</v>
      </c>
    </row>
    <row r="41" spans="1:7" x14ac:dyDescent="0.25">
      <c r="A41">
        <v>44.872283935546797</v>
      </c>
      <c r="B41" t="s">
        <v>58</v>
      </c>
      <c r="C41" t="s">
        <v>105</v>
      </c>
      <c r="D41" t="s">
        <v>105</v>
      </c>
      <c r="E41">
        <v>1</v>
      </c>
      <c r="F41">
        <v>1</v>
      </c>
      <c r="G41" t="s">
        <v>26</v>
      </c>
    </row>
    <row r="42" spans="1:7" x14ac:dyDescent="0.25">
      <c r="A42">
        <v>26.2150764465332</v>
      </c>
      <c r="B42" t="s">
        <v>59</v>
      </c>
      <c r="C42" t="s">
        <v>108</v>
      </c>
      <c r="D42" t="s">
        <v>108</v>
      </c>
      <c r="E42">
        <v>1</v>
      </c>
      <c r="F42">
        <v>1</v>
      </c>
      <c r="G42" t="s">
        <v>16</v>
      </c>
    </row>
    <row r="43" spans="1:7" x14ac:dyDescent="0.25">
      <c r="A43">
        <v>42.803525924682603</v>
      </c>
      <c r="B43" t="s">
        <v>60</v>
      </c>
      <c r="C43" t="s">
        <v>106</v>
      </c>
      <c r="D43" t="s">
        <v>106</v>
      </c>
      <c r="E43">
        <v>1</v>
      </c>
      <c r="F43">
        <v>1</v>
      </c>
      <c r="G43" t="s">
        <v>26</v>
      </c>
    </row>
    <row r="44" spans="1:7" x14ac:dyDescent="0.25">
      <c r="A44">
        <v>46.271800994872997</v>
      </c>
      <c r="B44" t="s">
        <v>61</v>
      </c>
      <c r="C44" t="s">
        <v>105</v>
      </c>
      <c r="D44" t="s">
        <v>105</v>
      </c>
      <c r="E44">
        <v>1</v>
      </c>
      <c r="F44">
        <v>1</v>
      </c>
      <c r="G44" t="s">
        <v>26</v>
      </c>
    </row>
    <row r="45" spans="1:7" x14ac:dyDescent="0.25">
      <c r="A45">
        <v>45.3872680664062</v>
      </c>
      <c r="B45" t="s">
        <v>62</v>
      </c>
      <c r="C45" t="s">
        <v>110</v>
      </c>
      <c r="D45" t="s">
        <v>105</v>
      </c>
      <c r="E45">
        <v>0.5</v>
      </c>
      <c r="F45">
        <v>0.33333333333333298</v>
      </c>
      <c r="G45" t="s">
        <v>26</v>
      </c>
    </row>
    <row r="46" spans="1:7" x14ac:dyDescent="0.25">
      <c r="A46">
        <v>43.600082397460902</v>
      </c>
      <c r="B46" t="s">
        <v>63</v>
      </c>
      <c r="C46" t="s">
        <v>106</v>
      </c>
      <c r="D46" t="s">
        <v>106</v>
      </c>
      <c r="E46">
        <v>1</v>
      </c>
      <c r="F46">
        <v>1</v>
      </c>
      <c r="G46" t="s">
        <v>26</v>
      </c>
    </row>
    <row r="47" spans="1:7" x14ac:dyDescent="0.25">
      <c r="A47">
        <v>44.809341430663999</v>
      </c>
      <c r="B47" t="s">
        <v>64</v>
      </c>
      <c r="C47" t="s">
        <v>106</v>
      </c>
      <c r="D47" t="s">
        <v>106</v>
      </c>
      <c r="E47">
        <v>1</v>
      </c>
      <c r="F47">
        <v>1</v>
      </c>
      <c r="G47" t="s">
        <v>26</v>
      </c>
    </row>
    <row r="48" spans="1:7" x14ac:dyDescent="0.25">
      <c r="A48">
        <v>44.785737991333001</v>
      </c>
      <c r="B48" t="s">
        <v>65</v>
      </c>
      <c r="C48" t="s">
        <v>105</v>
      </c>
      <c r="D48" t="s">
        <v>105</v>
      </c>
      <c r="E48">
        <v>1</v>
      </c>
      <c r="F48">
        <v>1</v>
      </c>
      <c r="G48" t="s">
        <v>26</v>
      </c>
    </row>
    <row r="49" spans="1:7" x14ac:dyDescent="0.25">
      <c r="A49">
        <v>45.485019683837798</v>
      </c>
      <c r="B49" t="s">
        <v>66</v>
      </c>
      <c r="C49" t="s">
        <v>105</v>
      </c>
      <c r="D49" t="s">
        <v>105</v>
      </c>
      <c r="E49">
        <v>1</v>
      </c>
      <c r="F49">
        <v>1</v>
      </c>
      <c r="G49" t="s">
        <v>26</v>
      </c>
    </row>
    <row r="50" spans="1:7" x14ac:dyDescent="0.25">
      <c r="A50">
        <v>44.976949691772397</v>
      </c>
      <c r="B50" t="s">
        <v>67</v>
      </c>
      <c r="C50" t="s">
        <v>106</v>
      </c>
      <c r="D50" t="s">
        <v>106</v>
      </c>
      <c r="E50">
        <v>1</v>
      </c>
      <c r="F50">
        <v>1</v>
      </c>
      <c r="G50" t="s">
        <v>26</v>
      </c>
    </row>
    <row r="51" spans="1:7" x14ac:dyDescent="0.25">
      <c r="A51">
        <v>47.8668212890625</v>
      </c>
      <c r="B51" t="s">
        <v>68</v>
      </c>
      <c r="C51" t="s">
        <v>105</v>
      </c>
      <c r="D51" t="s">
        <v>105</v>
      </c>
      <c r="E51">
        <v>1</v>
      </c>
      <c r="F51">
        <v>1</v>
      </c>
      <c r="G51" t="s">
        <v>26</v>
      </c>
    </row>
    <row r="52" spans="1:7" x14ac:dyDescent="0.25">
      <c r="A52">
        <v>46.845912933349602</v>
      </c>
      <c r="B52" t="s">
        <v>69</v>
      </c>
      <c r="C52" t="s">
        <v>105</v>
      </c>
      <c r="D52" t="s">
        <v>105</v>
      </c>
      <c r="E52">
        <v>1</v>
      </c>
      <c r="F52">
        <v>1</v>
      </c>
      <c r="G52" t="s">
        <v>26</v>
      </c>
    </row>
    <row r="53" spans="1:7" x14ac:dyDescent="0.25">
      <c r="A53">
        <v>45.796394348144503</v>
      </c>
      <c r="B53" t="s">
        <v>70</v>
      </c>
      <c r="C53" t="s">
        <v>105</v>
      </c>
      <c r="D53" t="s">
        <v>105</v>
      </c>
      <c r="E53">
        <v>1</v>
      </c>
      <c r="F53">
        <v>1</v>
      </c>
      <c r="G53" t="s">
        <v>26</v>
      </c>
    </row>
    <row r="54" spans="1:7" x14ac:dyDescent="0.25">
      <c r="A54">
        <v>45.034885406494098</v>
      </c>
      <c r="B54" t="s">
        <v>71</v>
      </c>
      <c r="C54" t="s">
        <v>106</v>
      </c>
      <c r="D54" t="s">
        <v>106</v>
      </c>
      <c r="E54">
        <v>1</v>
      </c>
      <c r="F54">
        <v>1</v>
      </c>
      <c r="G54" t="s">
        <v>26</v>
      </c>
    </row>
    <row r="55" spans="1:7" x14ac:dyDescent="0.25">
      <c r="A55">
        <v>46.269178390502901</v>
      </c>
      <c r="B55" t="s">
        <v>72</v>
      </c>
      <c r="C55" t="s">
        <v>105</v>
      </c>
      <c r="D55" t="s">
        <v>105</v>
      </c>
      <c r="E55">
        <v>1</v>
      </c>
      <c r="F55">
        <v>1</v>
      </c>
      <c r="G55" t="s">
        <v>26</v>
      </c>
    </row>
    <row r="56" spans="1:7" x14ac:dyDescent="0.25">
      <c r="A56">
        <v>44.459104537963803</v>
      </c>
      <c r="B56" t="s">
        <v>73</v>
      </c>
      <c r="C56" t="s">
        <v>105</v>
      </c>
      <c r="D56" t="s">
        <v>105</v>
      </c>
      <c r="E56">
        <v>1</v>
      </c>
      <c r="F56">
        <v>1</v>
      </c>
      <c r="G56" t="s">
        <v>26</v>
      </c>
    </row>
    <row r="57" spans="1:7" x14ac:dyDescent="0.25">
      <c r="A57">
        <v>44.052362442016602</v>
      </c>
      <c r="B57" t="s">
        <v>74</v>
      </c>
      <c r="C57" t="s">
        <v>106</v>
      </c>
      <c r="D57" t="s">
        <v>106</v>
      </c>
      <c r="E57">
        <v>1</v>
      </c>
      <c r="F57">
        <v>1</v>
      </c>
      <c r="G57" t="s">
        <v>26</v>
      </c>
    </row>
    <row r="58" spans="1:7" x14ac:dyDescent="0.25">
      <c r="A58">
        <v>43.723106384277301</v>
      </c>
      <c r="B58" t="s">
        <v>75</v>
      </c>
      <c r="C58" t="s">
        <v>105</v>
      </c>
      <c r="D58" t="s">
        <v>105</v>
      </c>
      <c r="E58">
        <v>1</v>
      </c>
      <c r="F58">
        <v>1</v>
      </c>
      <c r="G58" t="s">
        <v>26</v>
      </c>
    </row>
    <row r="59" spans="1:7" x14ac:dyDescent="0.25">
      <c r="A59">
        <v>47.460794448852504</v>
      </c>
      <c r="B59" t="s">
        <v>76</v>
      </c>
      <c r="C59" t="s">
        <v>110</v>
      </c>
      <c r="D59" t="s">
        <v>105</v>
      </c>
      <c r="E59">
        <v>0.5</v>
      </c>
      <c r="F59">
        <v>0.33333333333333298</v>
      </c>
      <c r="G59" t="s">
        <v>26</v>
      </c>
    </row>
    <row r="60" spans="1:7" x14ac:dyDescent="0.25">
      <c r="A60">
        <v>45.473098754882798</v>
      </c>
      <c r="B60" t="s">
        <v>77</v>
      </c>
      <c r="C60" t="s">
        <v>105</v>
      </c>
      <c r="D60" t="s">
        <v>105</v>
      </c>
      <c r="E60">
        <v>1</v>
      </c>
      <c r="F60">
        <v>1</v>
      </c>
      <c r="G60" t="s">
        <v>26</v>
      </c>
    </row>
    <row r="61" spans="1:7" x14ac:dyDescent="0.25">
      <c r="A61">
        <v>43.998956680297802</v>
      </c>
      <c r="B61" t="s">
        <v>78</v>
      </c>
      <c r="C61" t="s">
        <v>105</v>
      </c>
      <c r="D61" t="s">
        <v>105</v>
      </c>
      <c r="E61">
        <v>1</v>
      </c>
      <c r="F61">
        <v>1</v>
      </c>
      <c r="G61" t="s">
        <v>26</v>
      </c>
    </row>
    <row r="62" spans="1:7" x14ac:dyDescent="0.25">
      <c r="A62">
        <v>27.0843505859375</v>
      </c>
      <c r="B62" t="s">
        <v>79</v>
      </c>
      <c r="C62" t="s">
        <v>108</v>
      </c>
      <c r="D62" t="s">
        <v>109</v>
      </c>
      <c r="E62">
        <v>0</v>
      </c>
      <c r="F62">
        <v>0</v>
      </c>
      <c r="G62" t="s">
        <v>16</v>
      </c>
    </row>
    <row r="63" spans="1:7" x14ac:dyDescent="0.25">
      <c r="A63">
        <v>44.018268585205</v>
      </c>
      <c r="B63" t="s">
        <v>80</v>
      </c>
      <c r="C63" t="s">
        <v>105</v>
      </c>
      <c r="D63" t="s">
        <v>105</v>
      </c>
      <c r="E63">
        <v>1</v>
      </c>
      <c r="F63">
        <v>1</v>
      </c>
      <c r="G63" t="s">
        <v>26</v>
      </c>
    </row>
    <row r="64" spans="1:7" x14ac:dyDescent="0.25">
      <c r="A64">
        <v>45.0668334960937</v>
      </c>
      <c r="B64" t="s">
        <v>81</v>
      </c>
      <c r="C64" t="s">
        <v>105</v>
      </c>
      <c r="D64" t="s">
        <v>105</v>
      </c>
      <c r="E64">
        <v>1</v>
      </c>
      <c r="F64">
        <v>1</v>
      </c>
      <c r="G64" t="s">
        <v>26</v>
      </c>
    </row>
    <row r="65" spans="1:7" x14ac:dyDescent="0.25">
      <c r="A65">
        <v>43.883323669433501</v>
      </c>
      <c r="B65" t="s">
        <v>82</v>
      </c>
      <c r="C65" t="s">
        <v>105</v>
      </c>
      <c r="D65" t="s">
        <v>105</v>
      </c>
      <c r="E65">
        <v>1</v>
      </c>
      <c r="F65">
        <v>1</v>
      </c>
      <c r="G65" t="s">
        <v>26</v>
      </c>
    </row>
    <row r="66" spans="1:7" x14ac:dyDescent="0.25">
      <c r="A66">
        <v>45.313596725463803</v>
      </c>
      <c r="B66" t="s">
        <v>83</v>
      </c>
      <c r="C66" t="s">
        <v>105</v>
      </c>
      <c r="D66" t="s">
        <v>105</v>
      </c>
      <c r="E66">
        <v>1</v>
      </c>
      <c r="F66">
        <v>1</v>
      </c>
      <c r="G66" t="s">
        <v>26</v>
      </c>
    </row>
    <row r="67" spans="1:7" x14ac:dyDescent="0.25">
      <c r="A67">
        <v>46.6601848602294</v>
      </c>
      <c r="B67" t="s">
        <v>84</v>
      </c>
      <c r="C67" t="s">
        <v>105</v>
      </c>
      <c r="D67" t="s">
        <v>105</v>
      </c>
      <c r="E67">
        <v>1</v>
      </c>
      <c r="F67">
        <v>1</v>
      </c>
      <c r="G67" t="s">
        <v>26</v>
      </c>
    </row>
    <row r="68" spans="1:7" x14ac:dyDescent="0.25">
      <c r="A68">
        <v>45.5725193023681</v>
      </c>
      <c r="B68" t="s">
        <v>85</v>
      </c>
      <c r="C68" t="s">
        <v>105</v>
      </c>
      <c r="D68" t="s">
        <v>105</v>
      </c>
      <c r="E68">
        <v>1</v>
      </c>
      <c r="F68">
        <v>1</v>
      </c>
      <c r="G68" t="s">
        <v>26</v>
      </c>
    </row>
    <row r="69" spans="1:7" x14ac:dyDescent="0.25">
      <c r="A69">
        <v>45.216798782348597</v>
      </c>
      <c r="B69" t="s">
        <v>86</v>
      </c>
      <c r="C69" t="s">
        <v>106</v>
      </c>
      <c r="D69" t="s">
        <v>106</v>
      </c>
      <c r="E69">
        <v>1</v>
      </c>
      <c r="F69">
        <v>1</v>
      </c>
      <c r="G69" t="s">
        <v>26</v>
      </c>
    </row>
    <row r="70" spans="1:7" x14ac:dyDescent="0.25">
      <c r="A70">
        <v>44.875144958496001</v>
      </c>
      <c r="B70" t="s">
        <v>87</v>
      </c>
      <c r="C70" t="s">
        <v>105</v>
      </c>
      <c r="D70" t="s">
        <v>105</v>
      </c>
      <c r="E70">
        <v>1</v>
      </c>
      <c r="F70">
        <v>1</v>
      </c>
      <c r="G70" t="s">
        <v>26</v>
      </c>
    </row>
    <row r="71" spans="1:7" x14ac:dyDescent="0.25">
      <c r="A71">
        <v>44.3322658538818</v>
      </c>
      <c r="B71" t="s">
        <v>88</v>
      </c>
      <c r="C71" t="s">
        <v>105</v>
      </c>
      <c r="D71" t="s">
        <v>105</v>
      </c>
      <c r="E71">
        <v>1</v>
      </c>
      <c r="F71">
        <v>1</v>
      </c>
      <c r="G71" t="s">
        <v>26</v>
      </c>
    </row>
    <row r="72" spans="1:7" x14ac:dyDescent="0.25">
      <c r="A72">
        <v>44.881820678710902</v>
      </c>
      <c r="B72" t="s">
        <v>89</v>
      </c>
      <c r="C72" t="s">
        <v>105</v>
      </c>
      <c r="D72" t="s">
        <v>105</v>
      </c>
      <c r="E72">
        <v>1</v>
      </c>
      <c r="F72">
        <v>1</v>
      </c>
      <c r="G72" t="s">
        <v>26</v>
      </c>
    </row>
    <row r="73" spans="1:7" x14ac:dyDescent="0.25">
      <c r="A73">
        <v>44.790506362915004</v>
      </c>
      <c r="B73" t="s">
        <v>90</v>
      </c>
      <c r="C73" t="s">
        <v>96</v>
      </c>
      <c r="D73" t="s">
        <v>105</v>
      </c>
      <c r="E73">
        <v>0.5</v>
      </c>
      <c r="F73">
        <v>0.33333333333333298</v>
      </c>
      <c r="G73" t="s">
        <v>26</v>
      </c>
    </row>
    <row r="74" spans="1:7" x14ac:dyDescent="0.25">
      <c r="A74">
        <v>25.5568027496337</v>
      </c>
      <c r="B74" t="s">
        <v>91</v>
      </c>
      <c r="C74" t="s">
        <v>108</v>
      </c>
      <c r="D74" t="s">
        <v>108</v>
      </c>
      <c r="E74">
        <v>1</v>
      </c>
      <c r="F74">
        <v>1</v>
      </c>
      <c r="G74" t="s">
        <v>16</v>
      </c>
    </row>
    <row r="75" spans="1:7" x14ac:dyDescent="0.25">
      <c r="A75">
        <v>45.923948287963803</v>
      </c>
      <c r="B75" t="s">
        <v>92</v>
      </c>
      <c r="C75" t="s">
        <v>105</v>
      </c>
      <c r="D75" t="s">
        <v>105</v>
      </c>
      <c r="E75">
        <v>1</v>
      </c>
      <c r="F75">
        <v>1</v>
      </c>
      <c r="G75" t="s">
        <v>26</v>
      </c>
    </row>
    <row r="76" spans="1:7" x14ac:dyDescent="0.25">
      <c r="A76">
        <v>45.1800823211669</v>
      </c>
      <c r="B76" t="s">
        <v>93</v>
      </c>
      <c r="C76" t="s">
        <v>105</v>
      </c>
      <c r="D76" t="s">
        <v>105</v>
      </c>
      <c r="E76">
        <v>1</v>
      </c>
      <c r="F76">
        <v>1</v>
      </c>
      <c r="G76" t="s">
        <v>26</v>
      </c>
    </row>
    <row r="77" spans="1:7" x14ac:dyDescent="0.25">
      <c r="A77">
        <v>26.021003723144499</v>
      </c>
      <c r="B77" t="s">
        <v>94</v>
      </c>
      <c r="C77" t="s">
        <v>108</v>
      </c>
      <c r="D77" t="s">
        <v>109</v>
      </c>
      <c r="E77">
        <v>0</v>
      </c>
      <c r="F77">
        <v>0</v>
      </c>
      <c r="G77" t="s">
        <v>16</v>
      </c>
    </row>
    <row r="78" spans="1:7" x14ac:dyDescent="0.25">
      <c r="A78">
        <f>AVERAGE(A4:A77)</f>
        <v>43.667496861638234</v>
      </c>
      <c r="E78">
        <f>SUBTOTAL(101,detection_results3__5[Column5])</f>
        <v>0.93333333333333335</v>
      </c>
      <c r="F78">
        <f>SUBTOTAL(101,detection_results3__5[Column6])</f>
        <v>0.9244444444444444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CB3B-A575-47ED-954D-EE9BA19A2CB3}">
  <dimension ref="A1:G78"/>
  <sheetViews>
    <sheetView topLeftCell="A61" workbookViewId="0">
      <selection activeCell="A78" sqref="A78"/>
    </sheetView>
  </sheetViews>
  <sheetFormatPr defaultRowHeight="15" x14ac:dyDescent="0.25"/>
  <cols>
    <col min="1" max="1" width="18.85546875" bestFit="1" customWidth="1"/>
    <col min="2" max="4" width="11.42578125" bestFit="1" customWidth="1"/>
    <col min="5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>
        <v>4367.3722743988001</v>
      </c>
      <c r="B3" t="s">
        <v>14</v>
      </c>
      <c r="C3" t="s">
        <v>25</v>
      </c>
      <c r="D3" t="s">
        <v>25</v>
      </c>
      <c r="E3">
        <v>1</v>
      </c>
      <c r="F3">
        <v>1</v>
      </c>
      <c r="G3" t="s">
        <v>26</v>
      </c>
    </row>
    <row r="4" spans="1:7" x14ac:dyDescent="0.25">
      <c r="A4">
        <v>62.632083892822202</v>
      </c>
      <c r="B4" t="s">
        <v>18</v>
      </c>
      <c r="C4" t="s">
        <v>15</v>
      </c>
      <c r="D4" t="s">
        <v>15</v>
      </c>
      <c r="E4">
        <v>1</v>
      </c>
      <c r="F4">
        <v>1</v>
      </c>
      <c r="G4" t="s">
        <v>17</v>
      </c>
    </row>
    <row r="5" spans="1:7" x14ac:dyDescent="0.25">
      <c r="A5">
        <v>63.706159591674798</v>
      </c>
      <c r="B5" t="s">
        <v>19</v>
      </c>
      <c r="C5" t="s">
        <v>15</v>
      </c>
      <c r="D5" t="s">
        <v>15</v>
      </c>
      <c r="E5">
        <v>1</v>
      </c>
      <c r="F5">
        <v>1</v>
      </c>
      <c r="G5" t="s">
        <v>17</v>
      </c>
    </row>
    <row r="6" spans="1:7" x14ac:dyDescent="0.25">
      <c r="A6">
        <v>63.627719879150298</v>
      </c>
      <c r="B6" t="s">
        <v>20</v>
      </c>
      <c r="C6" t="s">
        <v>15</v>
      </c>
      <c r="D6" t="s">
        <v>15</v>
      </c>
      <c r="E6">
        <v>1</v>
      </c>
      <c r="F6">
        <v>1</v>
      </c>
      <c r="G6" t="s">
        <v>17</v>
      </c>
    </row>
    <row r="7" spans="1:7" x14ac:dyDescent="0.25">
      <c r="A7">
        <v>64.307928085327106</v>
      </c>
      <c r="B7" t="s">
        <v>21</v>
      </c>
      <c r="C7" t="s">
        <v>15</v>
      </c>
      <c r="D7" t="s">
        <v>15</v>
      </c>
      <c r="E7">
        <v>1</v>
      </c>
      <c r="F7">
        <v>1</v>
      </c>
      <c r="G7" t="s">
        <v>17</v>
      </c>
    </row>
    <row r="8" spans="1:7" x14ac:dyDescent="0.25">
      <c r="A8">
        <v>62.283277511596602</v>
      </c>
      <c r="B8" t="s">
        <v>22</v>
      </c>
      <c r="C8" t="s">
        <v>15</v>
      </c>
      <c r="D8" t="s">
        <v>15</v>
      </c>
      <c r="E8">
        <v>1</v>
      </c>
      <c r="F8">
        <v>1</v>
      </c>
      <c r="G8" t="s">
        <v>17</v>
      </c>
    </row>
    <row r="9" spans="1:7" x14ac:dyDescent="0.25">
      <c r="A9">
        <v>64.751863479614201</v>
      </c>
      <c r="B9" t="s">
        <v>23</v>
      </c>
      <c r="C9" t="s">
        <v>15</v>
      </c>
      <c r="D9" t="s">
        <v>15</v>
      </c>
      <c r="E9">
        <v>1</v>
      </c>
      <c r="F9">
        <v>1</v>
      </c>
      <c r="G9" t="s">
        <v>17</v>
      </c>
    </row>
    <row r="10" spans="1:7" x14ac:dyDescent="0.25">
      <c r="A10">
        <v>61.832189559936502</v>
      </c>
      <c r="B10" t="s">
        <v>24</v>
      </c>
      <c r="C10" t="s">
        <v>15</v>
      </c>
      <c r="D10" t="s">
        <v>15</v>
      </c>
      <c r="E10">
        <v>1</v>
      </c>
      <c r="F10">
        <v>1</v>
      </c>
      <c r="G10" t="s">
        <v>17</v>
      </c>
    </row>
    <row r="11" spans="1:7" x14ac:dyDescent="0.25">
      <c r="A11">
        <v>49.638748168945298</v>
      </c>
      <c r="B11" t="s">
        <v>27</v>
      </c>
      <c r="C11" t="s">
        <v>25</v>
      </c>
      <c r="D11" t="s">
        <v>25</v>
      </c>
      <c r="E11">
        <v>1</v>
      </c>
      <c r="F11">
        <v>1</v>
      </c>
      <c r="G11" t="s">
        <v>26</v>
      </c>
    </row>
    <row r="12" spans="1:7" x14ac:dyDescent="0.25">
      <c r="A12">
        <v>64.399719238281193</v>
      </c>
      <c r="B12" t="s">
        <v>28</v>
      </c>
      <c r="C12" t="s">
        <v>15</v>
      </c>
      <c r="D12" t="s">
        <v>15</v>
      </c>
      <c r="E12">
        <v>1</v>
      </c>
      <c r="F12">
        <v>1</v>
      </c>
      <c r="G12" t="s">
        <v>17</v>
      </c>
    </row>
    <row r="13" spans="1:7" x14ac:dyDescent="0.25">
      <c r="A13">
        <v>63.088655471801701</v>
      </c>
      <c r="B13" t="s">
        <v>29</v>
      </c>
      <c r="C13" t="s">
        <v>15</v>
      </c>
      <c r="D13" t="s">
        <v>15</v>
      </c>
      <c r="E13">
        <v>1</v>
      </c>
      <c r="F13">
        <v>1</v>
      </c>
      <c r="G13" t="s">
        <v>17</v>
      </c>
    </row>
    <row r="14" spans="1:7" x14ac:dyDescent="0.25">
      <c r="A14">
        <v>63.217401504516602</v>
      </c>
      <c r="B14" t="s">
        <v>30</v>
      </c>
      <c r="C14" t="s">
        <v>15</v>
      </c>
      <c r="D14" t="s">
        <v>15</v>
      </c>
      <c r="E14">
        <v>1</v>
      </c>
      <c r="F14">
        <v>1</v>
      </c>
      <c r="G14" t="s">
        <v>17</v>
      </c>
    </row>
    <row r="15" spans="1:7" x14ac:dyDescent="0.25">
      <c r="A15">
        <v>63.263654708862298</v>
      </c>
      <c r="B15" t="s">
        <v>31</v>
      </c>
      <c r="C15" t="s">
        <v>15</v>
      </c>
      <c r="D15" t="s">
        <v>15</v>
      </c>
      <c r="E15">
        <v>1</v>
      </c>
      <c r="F15">
        <v>1</v>
      </c>
      <c r="G15" t="s">
        <v>17</v>
      </c>
    </row>
    <row r="16" spans="1:7" x14ac:dyDescent="0.25">
      <c r="A16">
        <v>62.7517700195312</v>
      </c>
      <c r="B16" t="s">
        <v>32</v>
      </c>
      <c r="C16" t="s">
        <v>15</v>
      </c>
      <c r="D16" t="s">
        <v>15</v>
      </c>
      <c r="E16">
        <v>1</v>
      </c>
      <c r="F16">
        <v>1</v>
      </c>
      <c r="G16" t="s">
        <v>17</v>
      </c>
    </row>
    <row r="17" spans="1:7" x14ac:dyDescent="0.25">
      <c r="A17">
        <v>64.812660217285099</v>
      </c>
      <c r="B17" t="s">
        <v>33</v>
      </c>
      <c r="C17" t="s">
        <v>15</v>
      </c>
      <c r="D17" t="s">
        <v>15</v>
      </c>
      <c r="E17">
        <v>1</v>
      </c>
      <c r="F17">
        <v>1</v>
      </c>
      <c r="G17" t="s">
        <v>17</v>
      </c>
    </row>
    <row r="18" spans="1:7" x14ac:dyDescent="0.25">
      <c r="A18">
        <v>64.265012741088796</v>
      </c>
      <c r="B18" t="s">
        <v>34</v>
      </c>
      <c r="C18" t="s">
        <v>15</v>
      </c>
      <c r="D18" t="s">
        <v>15</v>
      </c>
      <c r="E18">
        <v>1</v>
      </c>
      <c r="F18">
        <v>1</v>
      </c>
      <c r="G18" t="s">
        <v>17</v>
      </c>
    </row>
    <row r="19" spans="1:7" x14ac:dyDescent="0.25">
      <c r="A19">
        <v>62.043428421020501</v>
      </c>
      <c r="B19" t="s">
        <v>35</v>
      </c>
      <c r="C19" t="s">
        <v>15</v>
      </c>
      <c r="D19" t="s">
        <v>15</v>
      </c>
      <c r="E19">
        <v>1</v>
      </c>
      <c r="F19">
        <v>1</v>
      </c>
      <c r="G19" t="s">
        <v>17</v>
      </c>
    </row>
    <row r="20" spans="1:7" x14ac:dyDescent="0.25">
      <c r="A20">
        <v>70.4824924468994</v>
      </c>
      <c r="B20" t="s">
        <v>36</v>
      </c>
      <c r="C20" t="s">
        <v>15</v>
      </c>
      <c r="D20" t="s">
        <v>15</v>
      </c>
      <c r="E20">
        <v>1</v>
      </c>
      <c r="F20">
        <v>1</v>
      </c>
      <c r="G20" t="s">
        <v>17</v>
      </c>
    </row>
    <row r="21" spans="1:7" x14ac:dyDescent="0.25">
      <c r="A21">
        <v>63.748598098754798</v>
      </c>
      <c r="B21" t="s">
        <v>37</v>
      </c>
      <c r="C21" t="s">
        <v>15</v>
      </c>
      <c r="D21" t="s">
        <v>15</v>
      </c>
      <c r="E21">
        <v>1</v>
      </c>
      <c r="F21">
        <v>1</v>
      </c>
      <c r="G21" t="s">
        <v>17</v>
      </c>
    </row>
    <row r="22" spans="1:7" x14ac:dyDescent="0.25">
      <c r="A22">
        <v>62.135696411132798</v>
      </c>
      <c r="B22" t="s">
        <v>38</v>
      </c>
      <c r="C22" t="s">
        <v>15</v>
      </c>
      <c r="D22" t="s">
        <v>15</v>
      </c>
      <c r="E22">
        <v>1</v>
      </c>
      <c r="F22">
        <v>1</v>
      </c>
      <c r="G22" t="s">
        <v>17</v>
      </c>
    </row>
    <row r="23" spans="1:7" x14ac:dyDescent="0.25">
      <c r="A23">
        <v>45.932054519653299</v>
      </c>
      <c r="B23" t="s">
        <v>39</v>
      </c>
      <c r="C23" t="s">
        <v>25</v>
      </c>
      <c r="D23" t="s">
        <v>25</v>
      </c>
      <c r="E23">
        <v>1</v>
      </c>
      <c r="F23">
        <v>1</v>
      </c>
      <c r="G23" t="s">
        <v>26</v>
      </c>
    </row>
    <row r="24" spans="1:7" x14ac:dyDescent="0.25">
      <c r="A24">
        <v>45.590639114379798</v>
      </c>
      <c r="B24" t="s">
        <v>40</v>
      </c>
      <c r="C24" t="s">
        <v>25</v>
      </c>
      <c r="D24" t="s">
        <v>25</v>
      </c>
      <c r="E24">
        <v>1</v>
      </c>
      <c r="F24">
        <v>1</v>
      </c>
      <c r="G24" t="s">
        <v>26</v>
      </c>
    </row>
    <row r="25" spans="1:7" x14ac:dyDescent="0.25">
      <c r="A25">
        <v>46.519517898559499</v>
      </c>
      <c r="B25" t="s">
        <v>41</v>
      </c>
      <c r="C25" t="s">
        <v>25</v>
      </c>
      <c r="D25" t="s">
        <v>25</v>
      </c>
      <c r="E25">
        <v>1</v>
      </c>
      <c r="F25">
        <v>1</v>
      </c>
      <c r="G25" t="s">
        <v>26</v>
      </c>
    </row>
    <row r="26" spans="1:7" x14ac:dyDescent="0.25">
      <c r="A26">
        <v>65.478324890136705</v>
      </c>
      <c r="B26" t="s">
        <v>42</v>
      </c>
      <c r="C26" t="s">
        <v>15</v>
      </c>
      <c r="D26" t="s">
        <v>15</v>
      </c>
      <c r="E26">
        <v>1</v>
      </c>
      <c r="F26">
        <v>1</v>
      </c>
      <c r="G26" t="s">
        <v>17</v>
      </c>
    </row>
    <row r="27" spans="1:7" x14ac:dyDescent="0.25">
      <c r="A27">
        <v>46.125173568725501</v>
      </c>
      <c r="B27" t="s">
        <v>43</v>
      </c>
      <c r="C27" t="s">
        <v>25</v>
      </c>
      <c r="D27" t="s">
        <v>25</v>
      </c>
      <c r="E27">
        <v>1</v>
      </c>
      <c r="F27">
        <v>1</v>
      </c>
      <c r="G27" t="s">
        <v>26</v>
      </c>
    </row>
    <row r="28" spans="1:7" x14ac:dyDescent="0.25">
      <c r="A28">
        <v>65.811395645141602</v>
      </c>
      <c r="B28" t="s">
        <v>44</v>
      </c>
      <c r="C28" t="s">
        <v>15</v>
      </c>
      <c r="D28" t="s">
        <v>15</v>
      </c>
      <c r="E28">
        <v>1</v>
      </c>
      <c r="F28">
        <v>1</v>
      </c>
      <c r="G28" t="s">
        <v>17</v>
      </c>
    </row>
    <row r="29" spans="1:7" x14ac:dyDescent="0.25">
      <c r="A29">
        <v>63.241243362426701</v>
      </c>
      <c r="B29" t="s">
        <v>45</v>
      </c>
      <c r="C29" t="s">
        <v>15</v>
      </c>
      <c r="D29" t="s">
        <v>15</v>
      </c>
      <c r="E29">
        <v>1</v>
      </c>
      <c r="F29">
        <v>1</v>
      </c>
      <c r="G29" t="s">
        <v>17</v>
      </c>
    </row>
    <row r="30" spans="1:7" x14ac:dyDescent="0.25">
      <c r="A30">
        <v>65.470695495605398</v>
      </c>
      <c r="B30" t="s">
        <v>46</v>
      </c>
      <c r="C30" t="s">
        <v>15</v>
      </c>
      <c r="D30" t="s">
        <v>15</v>
      </c>
      <c r="E30">
        <v>1</v>
      </c>
      <c r="F30">
        <v>1</v>
      </c>
      <c r="G30" t="s">
        <v>17</v>
      </c>
    </row>
    <row r="31" spans="1:7" x14ac:dyDescent="0.25">
      <c r="A31">
        <v>65.834522247314396</v>
      </c>
      <c r="B31" t="s">
        <v>47</v>
      </c>
      <c r="C31" t="s">
        <v>15</v>
      </c>
      <c r="D31" t="s">
        <v>15</v>
      </c>
      <c r="E31">
        <v>1</v>
      </c>
      <c r="F31">
        <v>1</v>
      </c>
      <c r="G31" t="s">
        <v>17</v>
      </c>
    </row>
    <row r="32" spans="1:7" x14ac:dyDescent="0.25">
      <c r="A32">
        <v>65.783023834228501</v>
      </c>
      <c r="B32" t="s">
        <v>48</v>
      </c>
      <c r="C32" t="s">
        <v>15</v>
      </c>
      <c r="D32" t="s">
        <v>15</v>
      </c>
      <c r="E32">
        <v>1</v>
      </c>
      <c r="F32">
        <v>1</v>
      </c>
      <c r="G32" t="s">
        <v>17</v>
      </c>
    </row>
    <row r="33" spans="1:7" x14ac:dyDescent="0.25">
      <c r="A33">
        <v>62.360286712646399</v>
      </c>
      <c r="B33" t="s">
        <v>50</v>
      </c>
      <c r="C33" t="s">
        <v>15</v>
      </c>
      <c r="D33" t="s">
        <v>15</v>
      </c>
      <c r="E33">
        <v>1</v>
      </c>
      <c r="F33">
        <v>1</v>
      </c>
      <c r="G33" t="s">
        <v>17</v>
      </c>
    </row>
    <row r="34" spans="1:7" x14ac:dyDescent="0.25">
      <c r="A34">
        <v>63.665628433227504</v>
      </c>
      <c r="B34" t="s">
        <v>51</v>
      </c>
      <c r="C34" t="s">
        <v>15</v>
      </c>
      <c r="D34" t="s">
        <v>15</v>
      </c>
      <c r="E34">
        <v>1</v>
      </c>
      <c r="F34">
        <v>1</v>
      </c>
      <c r="G34" t="s">
        <v>17</v>
      </c>
    </row>
    <row r="35" spans="1:7" x14ac:dyDescent="0.25">
      <c r="A35">
        <v>62.7429485321044</v>
      </c>
      <c r="B35" t="s">
        <v>52</v>
      </c>
      <c r="C35" t="s">
        <v>15</v>
      </c>
      <c r="D35" t="s">
        <v>15</v>
      </c>
      <c r="E35">
        <v>1</v>
      </c>
      <c r="F35">
        <v>1</v>
      </c>
      <c r="G35" t="s">
        <v>17</v>
      </c>
    </row>
    <row r="36" spans="1:7" x14ac:dyDescent="0.25">
      <c r="A36">
        <v>63.0688667297363</v>
      </c>
      <c r="B36" t="s">
        <v>53</v>
      </c>
      <c r="C36" t="s">
        <v>15</v>
      </c>
      <c r="D36" t="s">
        <v>15</v>
      </c>
      <c r="E36">
        <v>1</v>
      </c>
      <c r="F36">
        <v>1</v>
      </c>
      <c r="G36" t="s">
        <v>17</v>
      </c>
    </row>
    <row r="37" spans="1:7" x14ac:dyDescent="0.25">
      <c r="A37">
        <v>63.128709793090799</v>
      </c>
      <c r="B37" t="s">
        <v>54</v>
      </c>
      <c r="C37" t="s">
        <v>15</v>
      </c>
      <c r="D37" t="s">
        <v>15</v>
      </c>
      <c r="E37">
        <v>1</v>
      </c>
      <c r="F37">
        <v>1</v>
      </c>
      <c r="G37" t="s">
        <v>17</v>
      </c>
    </row>
    <row r="38" spans="1:7" x14ac:dyDescent="0.25">
      <c r="A38">
        <v>62.8345012664794</v>
      </c>
      <c r="B38" t="s">
        <v>55</v>
      </c>
      <c r="C38" t="s">
        <v>15</v>
      </c>
      <c r="D38" t="s">
        <v>15</v>
      </c>
      <c r="E38">
        <v>1</v>
      </c>
      <c r="F38">
        <v>1</v>
      </c>
      <c r="G38" t="s">
        <v>17</v>
      </c>
    </row>
    <row r="39" spans="1:7" x14ac:dyDescent="0.25">
      <c r="A39">
        <v>64.018487930297795</v>
      </c>
      <c r="B39" t="s">
        <v>56</v>
      </c>
      <c r="C39" t="s">
        <v>15</v>
      </c>
      <c r="D39" t="s">
        <v>15</v>
      </c>
      <c r="E39">
        <v>1</v>
      </c>
      <c r="F39">
        <v>1</v>
      </c>
      <c r="G39" t="s">
        <v>17</v>
      </c>
    </row>
    <row r="40" spans="1:7" x14ac:dyDescent="0.25">
      <c r="A40">
        <v>63.728094100952099</v>
      </c>
      <c r="B40" t="s">
        <v>57</v>
      </c>
      <c r="C40" t="s">
        <v>15</v>
      </c>
      <c r="D40" t="s">
        <v>15</v>
      </c>
      <c r="E40">
        <v>1</v>
      </c>
      <c r="F40">
        <v>1</v>
      </c>
      <c r="G40" t="s">
        <v>17</v>
      </c>
    </row>
    <row r="41" spans="1:7" x14ac:dyDescent="0.25">
      <c r="A41">
        <v>64.0933513641357</v>
      </c>
      <c r="B41" t="s">
        <v>58</v>
      </c>
      <c r="C41" t="s">
        <v>15</v>
      </c>
      <c r="D41" t="s">
        <v>15</v>
      </c>
      <c r="E41">
        <v>1</v>
      </c>
      <c r="F41">
        <v>1</v>
      </c>
      <c r="G41" t="s">
        <v>17</v>
      </c>
    </row>
    <row r="42" spans="1:7" x14ac:dyDescent="0.25">
      <c r="A42">
        <v>62.615156173705998</v>
      </c>
      <c r="B42" t="s">
        <v>59</v>
      </c>
      <c r="C42" t="s">
        <v>15</v>
      </c>
      <c r="D42" t="s">
        <v>15</v>
      </c>
      <c r="E42">
        <v>1</v>
      </c>
      <c r="F42">
        <v>1</v>
      </c>
      <c r="G42" t="s">
        <v>17</v>
      </c>
    </row>
    <row r="43" spans="1:7" x14ac:dyDescent="0.25">
      <c r="A43">
        <v>62.848567962646399</v>
      </c>
      <c r="B43" t="s">
        <v>60</v>
      </c>
      <c r="C43" t="s">
        <v>15</v>
      </c>
      <c r="D43" t="s">
        <v>15</v>
      </c>
      <c r="E43">
        <v>1</v>
      </c>
      <c r="F43">
        <v>1</v>
      </c>
      <c r="G43" t="s">
        <v>17</v>
      </c>
    </row>
    <row r="44" spans="1:7" x14ac:dyDescent="0.25">
      <c r="A44">
        <v>63.3718967437744</v>
      </c>
      <c r="B44" t="s">
        <v>61</v>
      </c>
      <c r="C44" t="s">
        <v>15</v>
      </c>
      <c r="D44" t="s">
        <v>15</v>
      </c>
      <c r="E44">
        <v>1</v>
      </c>
      <c r="F44">
        <v>1</v>
      </c>
      <c r="G44" t="s">
        <v>17</v>
      </c>
    </row>
    <row r="45" spans="1:7" x14ac:dyDescent="0.25">
      <c r="A45">
        <v>68.340063095092702</v>
      </c>
      <c r="B45" t="s">
        <v>62</v>
      </c>
      <c r="C45" t="s">
        <v>15</v>
      </c>
      <c r="D45" t="s">
        <v>15</v>
      </c>
      <c r="E45">
        <v>1</v>
      </c>
      <c r="F45">
        <v>1</v>
      </c>
      <c r="G45" t="s">
        <v>17</v>
      </c>
    </row>
    <row r="46" spans="1:7" x14ac:dyDescent="0.25">
      <c r="A46">
        <v>62.721014022827099</v>
      </c>
      <c r="B46" t="s">
        <v>63</v>
      </c>
      <c r="C46" t="s">
        <v>15</v>
      </c>
      <c r="D46" t="s">
        <v>15</v>
      </c>
      <c r="E46">
        <v>1</v>
      </c>
      <c r="F46">
        <v>1</v>
      </c>
      <c r="G46" t="s">
        <v>17</v>
      </c>
    </row>
    <row r="47" spans="1:7" x14ac:dyDescent="0.25">
      <c r="A47">
        <v>63.338994979858398</v>
      </c>
      <c r="B47" t="s">
        <v>64</v>
      </c>
      <c r="C47" t="s">
        <v>15</v>
      </c>
      <c r="D47" t="s">
        <v>15</v>
      </c>
      <c r="E47">
        <v>1</v>
      </c>
      <c r="F47">
        <v>1</v>
      </c>
      <c r="G47" t="s">
        <v>17</v>
      </c>
    </row>
    <row r="48" spans="1:7" x14ac:dyDescent="0.25">
      <c r="A48">
        <v>63.711643218994098</v>
      </c>
      <c r="B48" t="s">
        <v>65</v>
      </c>
      <c r="C48" t="s">
        <v>15</v>
      </c>
      <c r="D48" t="s">
        <v>15</v>
      </c>
      <c r="E48">
        <v>1</v>
      </c>
      <c r="F48">
        <v>1</v>
      </c>
      <c r="G48" t="s">
        <v>17</v>
      </c>
    </row>
    <row r="49" spans="1:7" x14ac:dyDescent="0.25">
      <c r="A49">
        <v>63.491582870483398</v>
      </c>
      <c r="B49" t="s">
        <v>66</v>
      </c>
      <c r="C49" t="s">
        <v>15</v>
      </c>
      <c r="D49" t="s">
        <v>15</v>
      </c>
      <c r="E49">
        <v>1</v>
      </c>
      <c r="F49">
        <v>1</v>
      </c>
      <c r="G49" t="s">
        <v>17</v>
      </c>
    </row>
    <row r="50" spans="1:7" x14ac:dyDescent="0.25">
      <c r="A50">
        <v>62.972545623779297</v>
      </c>
      <c r="B50" t="s">
        <v>67</v>
      </c>
      <c r="C50" t="s">
        <v>15</v>
      </c>
      <c r="D50" t="s">
        <v>15</v>
      </c>
      <c r="E50">
        <v>1</v>
      </c>
      <c r="F50">
        <v>1</v>
      </c>
      <c r="G50" t="s">
        <v>17</v>
      </c>
    </row>
    <row r="51" spans="1:7" x14ac:dyDescent="0.25">
      <c r="A51">
        <v>63.277244567871001</v>
      </c>
      <c r="B51" t="s">
        <v>68</v>
      </c>
      <c r="C51" t="s">
        <v>15</v>
      </c>
      <c r="D51" t="s">
        <v>15</v>
      </c>
      <c r="E51">
        <v>1</v>
      </c>
      <c r="F51">
        <v>1</v>
      </c>
      <c r="G51" t="s">
        <v>17</v>
      </c>
    </row>
    <row r="52" spans="1:7" x14ac:dyDescent="0.25">
      <c r="A52">
        <v>61.766147613525298</v>
      </c>
      <c r="B52" t="s">
        <v>69</v>
      </c>
      <c r="C52" t="s">
        <v>15</v>
      </c>
      <c r="D52" t="s">
        <v>15</v>
      </c>
      <c r="E52">
        <v>1</v>
      </c>
      <c r="F52">
        <v>1</v>
      </c>
      <c r="G52" t="s">
        <v>17</v>
      </c>
    </row>
    <row r="53" spans="1:7" x14ac:dyDescent="0.25">
      <c r="A53">
        <v>63.610076904296797</v>
      </c>
      <c r="B53" t="s">
        <v>70</v>
      </c>
      <c r="C53" t="s">
        <v>15</v>
      </c>
      <c r="D53" t="s">
        <v>15</v>
      </c>
      <c r="E53">
        <v>1</v>
      </c>
      <c r="F53">
        <v>1</v>
      </c>
      <c r="G53" t="s">
        <v>17</v>
      </c>
    </row>
    <row r="54" spans="1:7" x14ac:dyDescent="0.25">
      <c r="A54">
        <v>63.005447387695298</v>
      </c>
      <c r="B54" t="s">
        <v>71</v>
      </c>
      <c r="C54" t="s">
        <v>15</v>
      </c>
      <c r="D54" t="s">
        <v>15</v>
      </c>
      <c r="E54">
        <v>1</v>
      </c>
      <c r="F54">
        <v>1</v>
      </c>
      <c r="G54" t="s">
        <v>17</v>
      </c>
    </row>
    <row r="55" spans="1:7" x14ac:dyDescent="0.25">
      <c r="A55">
        <v>64.693450927734304</v>
      </c>
      <c r="B55" t="s">
        <v>72</v>
      </c>
      <c r="C55" t="s">
        <v>15</v>
      </c>
      <c r="D55" t="s">
        <v>15</v>
      </c>
      <c r="E55">
        <v>1</v>
      </c>
      <c r="F55">
        <v>1</v>
      </c>
      <c r="G55" t="s">
        <v>17</v>
      </c>
    </row>
    <row r="56" spans="1:7" x14ac:dyDescent="0.25">
      <c r="A56">
        <v>63.794612884521399</v>
      </c>
      <c r="B56" t="s">
        <v>73</v>
      </c>
      <c r="C56" t="s">
        <v>15</v>
      </c>
      <c r="D56" t="s">
        <v>15</v>
      </c>
      <c r="E56">
        <v>1</v>
      </c>
      <c r="F56">
        <v>1</v>
      </c>
      <c r="G56" t="s">
        <v>17</v>
      </c>
    </row>
    <row r="57" spans="1:7" x14ac:dyDescent="0.25">
      <c r="A57">
        <v>63.698768615722599</v>
      </c>
      <c r="B57" t="s">
        <v>74</v>
      </c>
      <c r="C57" t="s">
        <v>15</v>
      </c>
      <c r="D57" t="s">
        <v>15</v>
      </c>
      <c r="E57">
        <v>1</v>
      </c>
      <c r="F57">
        <v>1</v>
      </c>
      <c r="G57" t="s">
        <v>17</v>
      </c>
    </row>
    <row r="58" spans="1:7" x14ac:dyDescent="0.25">
      <c r="A58">
        <v>65.942525863647404</v>
      </c>
      <c r="B58" t="s">
        <v>75</v>
      </c>
      <c r="C58" t="s">
        <v>15</v>
      </c>
      <c r="D58" t="s">
        <v>15</v>
      </c>
      <c r="E58">
        <v>1</v>
      </c>
      <c r="F58">
        <v>1</v>
      </c>
      <c r="G58" t="s">
        <v>17</v>
      </c>
    </row>
    <row r="59" spans="1:7" x14ac:dyDescent="0.25">
      <c r="A59">
        <v>64.262628555297795</v>
      </c>
      <c r="B59" t="s">
        <v>76</v>
      </c>
      <c r="C59" t="s">
        <v>15</v>
      </c>
      <c r="D59" t="s">
        <v>15</v>
      </c>
      <c r="E59">
        <v>1</v>
      </c>
      <c r="F59">
        <v>1</v>
      </c>
      <c r="G59" t="s">
        <v>17</v>
      </c>
    </row>
    <row r="60" spans="1:7" x14ac:dyDescent="0.25">
      <c r="A60">
        <v>63.155412673950103</v>
      </c>
      <c r="B60" t="s">
        <v>77</v>
      </c>
      <c r="C60" t="s">
        <v>15</v>
      </c>
      <c r="D60" t="s">
        <v>15</v>
      </c>
      <c r="E60">
        <v>1</v>
      </c>
      <c r="F60">
        <v>1</v>
      </c>
      <c r="G60" t="s">
        <v>17</v>
      </c>
    </row>
    <row r="61" spans="1:7" x14ac:dyDescent="0.25">
      <c r="A61">
        <v>45.949935913085902</v>
      </c>
      <c r="B61" t="s">
        <v>78</v>
      </c>
      <c r="C61" t="s">
        <v>25</v>
      </c>
      <c r="D61" t="s">
        <v>25</v>
      </c>
      <c r="E61">
        <v>1</v>
      </c>
      <c r="F61">
        <v>1</v>
      </c>
      <c r="G61" t="s">
        <v>26</v>
      </c>
    </row>
    <row r="62" spans="1:7" x14ac:dyDescent="0.25">
      <c r="A62">
        <v>61.440229415893498</v>
      </c>
      <c r="B62" t="s">
        <v>79</v>
      </c>
      <c r="C62" t="s">
        <v>15</v>
      </c>
      <c r="D62" t="s">
        <v>15</v>
      </c>
      <c r="E62">
        <v>1</v>
      </c>
      <c r="F62">
        <v>1</v>
      </c>
      <c r="G62" t="s">
        <v>17</v>
      </c>
    </row>
    <row r="63" spans="1:7" x14ac:dyDescent="0.25">
      <c r="A63">
        <v>65.064668655395494</v>
      </c>
      <c r="B63" t="s">
        <v>80</v>
      </c>
      <c r="C63" t="s">
        <v>49</v>
      </c>
      <c r="D63" t="s">
        <v>15</v>
      </c>
      <c r="E63">
        <v>0.66666666666666596</v>
      </c>
      <c r="F63">
        <v>0.66666666666666596</v>
      </c>
      <c r="G63" t="s">
        <v>17</v>
      </c>
    </row>
    <row r="64" spans="1:7" x14ac:dyDescent="0.25">
      <c r="A64">
        <v>63.689470291137603</v>
      </c>
      <c r="B64" t="s">
        <v>81</v>
      </c>
      <c r="C64" t="s">
        <v>15</v>
      </c>
      <c r="D64" t="s">
        <v>15</v>
      </c>
      <c r="E64">
        <v>1</v>
      </c>
      <c r="F64">
        <v>1</v>
      </c>
      <c r="G64" t="s">
        <v>17</v>
      </c>
    </row>
    <row r="65" spans="1:7" x14ac:dyDescent="0.25">
      <c r="A65">
        <v>62.832117080688398</v>
      </c>
      <c r="B65" t="s">
        <v>82</v>
      </c>
      <c r="C65" t="s">
        <v>15</v>
      </c>
      <c r="D65" t="s">
        <v>15</v>
      </c>
      <c r="E65">
        <v>1</v>
      </c>
      <c r="F65">
        <v>1</v>
      </c>
      <c r="G65" t="s">
        <v>17</v>
      </c>
    </row>
    <row r="66" spans="1:7" x14ac:dyDescent="0.25">
      <c r="A66">
        <v>63.549518585205</v>
      </c>
      <c r="B66" t="s">
        <v>83</v>
      </c>
      <c r="C66" t="s">
        <v>15</v>
      </c>
      <c r="D66" t="s">
        <v>15</v>
      </c>
      <c r="E66">
        <v>1</v>
      </c>
      <c r="F66">
        <v>1</v>
      </c>
      <c r="G66" t="s">
        <v>17</v>
      </c>
    </row>
    <row r="67" spans="1:7" x14ac:dyDescent="0.25">
      <c r="A67">
        <v>62.918663024902301</v>
      </c>
      <c r="B67" t="s">
        <v>84</v>
      </c>
      <c r="C67" t="s">
        <v>15</v>
      </c>
      <c r="D67" t="s">
        <v>15</v>
      </c>
      <c r="E67">
        <v>1</v>
      </c>
      <c r="F67">
        <v>1</v>
      </c>
      <c r="G67" t="s">
        <v>17</v>
      </c>
    </row>
    <row r="68" spans="1:7" x14ac:dyDescent="0.25">
      <c r="A68">
        <v>63.991785049438398</v>
      </c>
      <c r="B68" t="s">
        <v>85</v>
      </c>
      <c r="C68" t="s">
        <v>15</v>
      </c>
      <c r="D68" t="s">
        <v>15</v>
      </c>
      <c r="E68">
        <v>1</v>
      </c>
      <c r="F68">
        <v>1</v>
      </c>
      <c r="G68" t="s">
        <v>17</v>
      </c>
    </row>
    <row r="69" spans="1:7" x14ac:dyDescent="0.25">
      <c r="A69">
        <v>64.266443252563406</v>
      </c>
      <c r="B69" t="s">
        <v>86</v>
      </c>
      <c r="C69" t="s">
        <v>15</v>
      </c>
      <c r="D69" t="s">
        <v>15</v>
      </c>
      <c r="E69">
        <v>1</v>
      </c>
      <c r="F69">
        <v>1</v>
      </c>
      <c r="G69" t="s">
        <v>17</v>
      </c>
    </row>
    <row r="70" spans="1:7" x14ac:dyDescent="0.25">
      <c r="A70">
        <v>62.741279602050703</v>
      </c>
      <c r="B70" t="s">
        <v>87</v>
      </c>
      <c r="C70" t="s">
        <v>15</v>
      </c>
      <c r="D70" t="s">
        <v>15</v>
      </c>
      <c r="E70">
        <v>1</v>
      </c>
      <c r="F70">
        <v>1</v>
      </c>
      <c r="G70" t="s">
        <v>17</v>
      </c>
    </row>
    <row r="71" spans="1:7" x14ac:dyDescent="0.25">
      <c r="A71">
        <v>65.278291702270494</v>
      </c>
      <c r="B71" t="s">
        <v>88</v>
      </c>
      <c r="C71" t="s">
        <v>15</v>
      </c>
      <c r="D71" t="s">
        <v>15</v>
      </c>
      <c r="E71">
        <v>1</v>
      </c>
      <c r="F71">
        <v>1</v>
      </c>
      <c r="G71" t="s">
        <v>17</v>
      </c>
    </row>
    <row r="72" spans="1:7" x14ac:dyDescent="0.25">
      <c r="A72">
        <v>62.734603881835902</v>
      </c>
      <c r="B72" t="s">
        <v>89</v>
      </c>
      <c r="C72" t="s">
        <v>15</v>
      </c>
      <c r="D72" t="s">
        <v>15</v>
      </c>
      <c r="E72">
        <v>1</v>
      </c>
      <c r="F72">
        <v>1</v>
      </c>
      <c r="G72" t="s">
        <v>17</v>
      </c>
    </row>
    <row r="73" spans="1:7" x14ac:dyDescent="0.25">
      <c r="A73">
        <v>63.213586807250898</v>
      </c>
      <c r="B73" t="s">
        <v>90</v>
      </c>
      <c r="C73" t="s">
        <v>15</v>
      </c>
      <c r="D73" t="s">
        <v>15</v>
      </c>
      <c r="E73">
        <v>1</v>
      </c>
      <c r="F73">
        <v>1</v>
      </c>
      <c r="G73" t="s">
        <v>17</v>
      </c>
    </row>
    <row r="74" spans="1:7" x14ac:dyDescent="0.25">
      <c r="A74">
        <v>63.878536224365199</v>
      </c>
      <c r="B74" t="s">
        <v>91</v>
      </c>
      <c r="C74" t="s">
        <v>15</v>
      </c>
      <c r="D74" t="s">
        <v>15</v>
      </c>
      <c r="E74">
        <v>1</v>
      </c>
      <c r="F74">
        <v>1</v>
      </c>
      <c r="G74" t="s">
        <v>17</v>
      </c>
    </row>
    <row r="75" spans="1:7" x14ac:dyDescent="0.25">
      <c r="A75">
        <v>63.603639602661097</v>
      </c>
      <c r="B75" t="s">
        <v>92</v>
      </c>
      <c r="C75" t="s">
        <v>15</v>
      </c>
      <c r="D75" t="s">
        <v>15</v>
      </c>
      <c r="E75">
        <v>1</v>
      </c>
      <c r="F75">
        <v>1</v>
      </c>
      <c r="G75" t="s">
        <v>17</v>
      </c>
    </row>
    <row r="76" spans="1:7" x14ac:dyDescent="0.25">
      <c r="A76">
        <v>64.480304718017507</v>
      </c>
      <c r="B76" t="s">
        <v>93</v>
      </c>
      <c r="C76" t="s">
        <v>15</v>
      </c>
      <c r="D76" t="s">
        <v>15</v>
      </c>
      <c r="E76">
        <v>1</v>
      </c>
      <c r="F76">
        <v>1</v>
      </c>
      <c r="G76" t="s">
        <v>17</v>
      </c>
    </row>
    <row r="77" spans="1:7" x14ac:dyDescent="0.25">
      <c r="A77">
        <v>66.342830657958899</v>
      </c>
      <c r="B77" t="s">
        <v>94</v>
      </c>
      <c r="C77" t="s">
        <v>15</v>
      </c>
      <c r="D77" t="s">
        <v>15</v>
      </c>
      <c r="E77">
        <v>1</v>
      </c>
      <c r="F77">
        <v>1</v>
      </c>
      <c r="G77" t="s">
        <v>17</v>
      </c>
    </row>
    <row r="78" spans="1:7" x14ac:dyDescent="0.25">
      <c r="A78">
        <f>AVERAGE(A4:A77)</f>
        <v>62.419056892395005</v>
      </c>
      <c r="E78">
        <f>SUBTOTAL(101,detection_results3__4[Column5])</f>
        <v>0.99555555555555542</v>
      </c>
      <c r="F78">
        <f>SUBTOTAL(101,detection_results3__4[Column6])</f>
        <v>0.99555555555555542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485E-C856-488E-9CE5-77D91A215B1F}">
  <dimension ref="A1:G80"/>
  <sheetViews>
    <sheetView topLeftCell="A79" workbookViewId="0">
      <selection activeCell="A80" sqref="A80"/>
    </sheetView>
  </sheetViews>
  <sheetFormatPr defaultRowHeight="15" x14ac:dyDescent="0.25"/>
  <cols>
    <col min="1" max="1" width="18.85546875" bestFit="1" customWidth="1"/>
    <col min="2" max="5" width="11.42578125" bestFit="1" customWidth="1"/>
    <col min="6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>
        <v>4381.2270164489701</v>
      </c>
      <c r="B3" t="s">
        <v>14</v>
      </c>
      <c r="C3" t="s">
        <v>101</v>
      </c>
      <c r="D3" t="s">
        <v>101</v>
      </c>
      <c r="E3">
        <v>1</v>
      </c>
      <c r="F3">
        <v>1</v>
      </c>
      <c r="G3">
        <v>2</v>
      </c>
    </row>
    <row r="4" spans="1:7" x14ac:dyDescent="0.25">
      <c r="A4">
        <v>46.119213104247997</v>
      </c>
      <c r="B4" t="s">
        <v>18</v>
      </c>
      <c r="C4" t="s">
        <v>101</v>
      </c>
      <c r="D4" t="s">
        <v>101</v>
      </c>
      <c r="E4">
        <v>1</v>
      </c>
      <c r="F4">
        <v>1</v>
      </c>
      <c r="G4">
        <v>2</v>
      </c>
    </row>
    <row r="5" spans="1:7" x14ac:dyDescent="0.25">
      <c r="A5">
        <v>44.907093048095703</v>
      </c>
      <c r="B5" t="s">
        <v>19</v>
      </c>
      <c r="C5" t="s">
        <v>101</v>
      </c>
      <c r="D5" t="s">
        <v>101</v>
      </c>
      <c r="E5">
        <v>1</v>
      </c>
      <c r="F5">
        <v>1</v>
      </c>
      <c r="G5">
        <v>2</v>
      </c>
    </row>
    <row r="6" spans="1:7" x14ac:dyDescent="0.25">
      <c r="A6">
        <v>43.7643527984619</v>
      </c>
      <c r="B6" t="s">
        <v>20</v>
      </c>
      <c r="C6" t="s">
        <v>101</v>
      </c>
      <c r="D6" t="s">
        <v>101</v>
      </c>
      <c r="E6">
        <v>1</v>
      </c>
      <c r="F6">
        <v>1</v>
      </c>
      <c r="G6">
        <v>2</v>
      </c>
    </row>
    <row r="7" spans="1:7" x14ac:dyDescent="0.25">
      <c r="A7">
        <v>44.015407562255803</v>
      </c>
      <c r="B7" t="s">
        <v>21</v>
      </c>
      <c r="C7" t="s">
        <v>101</v>
      </c>
      <c r="D7" t="s">
        <v>101</v>
      </c>
      <c r="E7">
        <v>1</v>
      </c>
      <c r="F7">
        <v>1</v>
      </c>
      <c r="G7">
        <v>2</v>
      </c>
    </row>
    <row r="8" spans="1:7" x14ac:dyDescent="0.25">
      <c r="A8">
        <v>42.4118041992187</v>
      </c>
      <c r="B8" t="s">
        <v>22</v>
      </c>
      <c r="C8" t="s">
        <v>102</v>
      </c>
      <c r="D8" t="s">
        <v>101</v>
      </c>
      <c r="E8">
        <v>0.5</v>
      </c>
      <c r="F8">
        <v>0.33333333333333298</v>
      </c>
      <c r="G8">
        <v>2</v>
      </c>
    </row>
    <row r="9" spans="1:7" x14ac:dyDescent="0.25">
      <c r="A9">
        <v>42.341232299804602</v>
      </c>
      <c r="B9" t="s">
        <v>23</v>
      </c>
      <c r="C9" t="s">
        <v>102</v>
      </c>
      <c r="D9" t="s">
        <v>101</v>
      </c>
      <c r="E9">
        <v>0.5</v>
      </c>
      <c r="F9">
        <v>0.33333333333333298</v>
      </c>
      <c r="G9">
        <v>2</v>
      </c>
    </row>
    <row r="10" spans="1:7" x14ac:dyDescent="0.25">
      <c r="A10">
        <v>41.030406951904297</v>
      </c>
      <c r="B10" t="s">
        <v>24</v>
      </c>
      <c r="C10" t="s">
        <v>25</v>
      </c>
      <c r="D10" t="s">
        <v>101</v>
      </c>
      <c r="E10">
        <v>0.5</v>
      </c>
      <c r="F10">
        <v>0.33333333333333298</v>
      </c>
      <c r="G10">
        <v>2</v>
      </c>
    </row>
    <row r="11" spans="1:7" x14ac:dyDescent="0.25">
      <c r="A11">
        <v>42.592287063598597</v>
      </c>
      <c r="B11" t="s">
        <v>27</v>
      </c>
      <c r="C11" t="s">
        <v>102</v>
      </c>
      <c r="D11" t="s">
        <v>101</v>
      </c>
      <c r="E11">
        <v>0.5</v>
      </c>
      <c r="F11">
        <v>0.33333333333333298</v>
      </c>
      <c r="G11">
        <v>2</v>
      </c>
    </row>
    <row r="12" spans="1:7" x14ac:dyDescent="0.25">
      <c r="A12">
        <v>44.1741943359375</v>
      </c>
      <c r="B12" t="s">
        <v>28</v>
      </c>
      <c r="C12" t="s">
        <v>101</v>
      </c>
      <c r="D12" t="s">
        <v>101</v>
      </c>
      <c r="E12">
        <v>1</v>
      </c>
      <c r="F12">
        <v>1</v>
      </c>
      <c r="G12">
        <v>2</v>
      </c>
    </row>
    <row r="13" spans="1:7" x14ac:dyDescent="0.25">
      <c r="A13">
        <v>44.526576995849602</v>
      </c>
      <c r="B13" t="s">
        <v>29</v>
      </c>
      <c r="C13" t="s">
        <v>101</v>
      </c>
      <c r="D13" t="s">
        <v>101</v>
      </c>
      <c r="E13">
        <v>1</v>
      </c>
      <c r="F13">
        <v>1</v>
      </c>
      <c r="G13">
        <v>2</v>
      </c>
    </row>
    <row r="14" spans="1:7" x14ac:dyDescent="0.25">
      <c r="A14">
        <v>44.704675674438398</v>
      </c>
      <c r="B14" t="s">
        <v>30</v>
      </c>
      <c r="C14" t="s">
        <v>25</v>
      </c>
      <c r="D14" t="s">
        <v>101</v>
      </c>
      <c r="E14">
        <v>0.5</v>
      </c>
      <c r="F14">
        <v>0.33333333333333298</v>
      </c>
      <c r="G14">
        <v>2</v>
      </c>
    </row>
    <row r="15" spans="1:7" x14ac:dyDescent="0.25">
      <c r="A15">
        <v>44.405937194824197</v>
      </c>
      <c r="B15" t="s">
        <v>31</v>
      </c>
      <c r="C15" t="s">
        <v>102</v>
      </c>
      <c r="D15" t="s">
        <v>101</v>
      </c>
      <c r="E15">
        <v>0.5</v>
      </c>
      <c r="F15">
        <v>0.33333333333333298</v>
      </c>
      <c r="G15">
        <v>2</v>
      </c>
    </row>
    <row r="16" spans="1:7" x14ac:dyDescent="0.25">
      <c r="A16">
        <v>43.177843093871999</v>
      </c>
      <c r="B16" t="s">
        <v>32</v>
      </c>
      <c r="C16" t="s">
        <v>101</v>
      </c>
      <c r="D16" t="s">
        <v>101</v>
      </c>
      <c r="E16">
        <v>1</v>
      </c>
      <c r="F16">
        <v>1</v>
      </c>
      <c r="G16">
        <v>2</v>
      </c>
    </row>
    <row r="17" spans="1:7" x14ac:dyDescent="0.25">
      <c r="A17">
        <v>29.3219089508056</v>
      </c>
      <c r="B17" t="s">
        <v>33</v>
      </c>
      <c r="C17" t="s">
        <v>103</v>
      </c>
      <c r="D17" t="s">
        <v>103</v>
      </c>
      <c r="E17">
        <v>1</v>
      </c>
      <c r="F17">
        <v>1</v>
      </c>
      <c r="G17">
        <v>1</v>
      </c>
    </row>
    <row r="18" spans="1:7" x14ac:dyDescent="0.25">
      <c r="A18">
        <v>42.782545089721602</v>
      </c>
      <c r="B18" t="s">
        <v>34</v>
      </c>
      <c r="C18" t="s">
        <v>101</v>
      </c>
      <c r="D18" t="s">
        <v>101</v>
      </c>
      <c r="E18">
        <v>1</v>
      </c>
      <c r="F18">
        <v>1</v>
      </c>
      <c r="G18">
        <v>2</v>
      </c>
    </row>
    <row r="19" spans="1:7" x14ac:dyDescent="0.25">
      <c r="A19">
        <v>44.079303741455</v>
      </c>
      <c r="B19" t="s">
        <v>35</v>
      </c>
      <c r="C19" t="s">
        <v>102</v>
      </c>
      <c r="D19" t="s">
        <v>101</v>
      </c>
      <c r="E19">
        <v>0.5</v>
      </c>
      <c r="F19">
        <v>0.33333333333333298</v>
      </c>
      <c r="G19">
        <v>2</v>
      </c>
    </row>
    <row r="20" spans="1:7" x14ac:dyDescent="0.25">
      <c r="A20">
        <v>43.1811809539794</v>
      </c>
      <c r="B20" t="s">
        <v>36</v>
      </c>
      <c r="C20" t="s">
        <v>25</v>
      </c>
      <c r="D20" t="s">
        <v>101</v>
      </c>
      <c r="E20">
        <v>0.5</v>
      </c>
      <c r="F20">
        <v>0.33333333333333298</v>
      </c>
      <c r="G20">
        <v>2</v>
      </c>
    </row>
    <row r="21" spans="1:7" x14ac:dyDescent="0.25">
      <c r="A21">
        <v>26.532411575317301</v>
      </c>
      <c r="B21" t="s">
        <v>37</v>
      </c>
      <c r="C21" t="s">
        <v>103</v>
      </c>
      <c r="D21" t="s">
        <v>103</v>
      </c>
      <c r="E21">
        <v>1</v>
      </c>
      <c r="F21">
        <v>1</v>
      </c>
      <c r="G21">
        <v>1</v>
      </c>
    </row>
    <row r="22" spans="1:7" x14ac:dyDescent="0.25">
      <c r="A22">
        <v>45.451402664184499</v>
      </c>
      <c r="B22" t="s">
        <v>38</v>
      </c>
      <c r="C22" t="s">
        <v>102</v>
      </c>
      <c r="D22" t="s">
        <v>101</v>
      </c>
      <c r="E22">
        <v>0.5</v>
      </c>
      <c r="F22">
        <v>0.33333333333333298</v>
      </c>
      <c r="G22">
        <v>2</v>
      </c>
    </row>
    <row r="23" spans="1:7" x14ac:dyDescent="0.25">
      <c r="A23">
        <v>44.496536254882798</v>
      </c>
      <c r="B23" t="s">
        <v>39</v>
      </c>
      <c r="C23" t="s">
        <v>101</v>
      </c>
      <c r="D23" t="s">
        <v>101</v>
      </c>
      <c r="E23">
        <v>1</v>
      </c>
      <c r="F23">
        <v>1</v>
      </c>
      <c r="G23">
        <v>2</v>
      </c>
    </row>
    <row r="24" spans="1:7" x14ac:dyDescent="0.25">
      <c r="A24">
        <v>44.558763504028299</v>
      </c>
      <c r="B24" t="s">
        <v>40</v>
      </c>
      <c r="C24" t="s">
        <v>101</v>
      </c>
      <c r="D24" t="s">
        <v>101</v>
      </c>
      <c r="E24">
        <v>1</v>
      </c>
      <c r="F24">
        <v>1</v>
      </c>
      <c r="G24">
        <v>2</v>
      </c>
    </row>
    <row r="25" spans="1:7" x14ac:dyDescent="0.25">
      <c r="A25">
        <v>42.130470275878899</v>
      </c>
      <c r="B25" t="s">
        <v>41</v>
      </c>
      <c r="C25" t="s">
        <v>95</v>
      </c>
      <c r="D25" t="s">
        <v>101</v>
      </c>
      <c r="E25">
        <v>0</v>
      </c>
      <c r="F25">
        <v>0</v>
      </c>
      <c r="G25">
        <v>2</v>
      </c>
    </row>
    <row r="26" spans="1:7" x14ac:dyDescent="0.25">
      <c r="A26">
        <v>47.257184982299798</v>
      </c>
      <c r="B26" t="s">
        <v>42</v>
      </c>
      <c r="C26" t="s">
        <v>101</v>
      </c>
      <c r="D26" t="s">
        <v>101</v>
      </c>
      <c r="E26">
        <v>1</v>
      </c>
      <c r="F26">
        <v>1</v>
      </c>
      <c r="G26">
        <v>2</v>
      </c>
    </row>
    <row r="27" spans="1:7" x14ac:dyDescent="0.25">
      <c r="A27">
        <v>21.9285488128662</v>
      </c>
      <c r="B27" t="s">
        <v>43</v>
      </c>
      <c r="C27" t="s">
        <v>103</v>
      </c>
      <c r="D27" t="s">
        <v>103</v>
      </c>
      <c r="E27">
        <v>1</v>
      </c>
      <c r="F27">
        <v>1</v>
      </c>
      <c r="G27">
        <v>1</v>
      </c>
    </row>
    <row r="28" spans="1:7" x14ac:dyDescent="0.25">
      <c r="A28">
        <v>41.369438171386697</v>
      </c>
      <c r="B28" t="s">
        <v>44</v>
      </c>
      <c r="C28" t="s">
        <v>25</v>
      </c>
      <c r="D28" t="s">
        <v>101</v>
      </c>
      <c r="E28">
        <v>0.5</v>
      </c>
      <c r="F28">
        <v>0.33333333333333298</v>
      </c>
      <c r="G28">
        <v>2</v>
      </c>
    </row>
    <row r="29" spans="1:7" x14ac:dyDescent="0.25">
      <c r="A29">
        <v>40.333747863769503</v>
      </c>
      <c r="B29" t="s">
        <v>45</v>
      </c>
      <c r="C29" t="s">
        <v>95</v>
      </c>
      <c r="D29" t="s">
        <v>101</v>
      </c>
      <c r="E29">
        <v>0</v>
      </c>
      <c r="F29">
        <v>0</v>
      </c>
      <c r="G29">
        <v>2</v>
      </c>
    </row>
    <row r="30" spans="1:7" x14ac:dyDescent="0.25">
      <c r="A30">
        <v>42.5927639007568</v>
      </c>
      <c r="B30" t="s">
        <v>46</v>
      </c>
      <c r="C30" t="s">
        <v>25</v>
      </c>
      <c r="D30" t="s">
        <v>101</v>
      </c>
      <c r="E30">
        <v>0.5</v>
      </c>
      <c r="F30">
        <v>0.33333333333333298</v>
      </c>
      <c r="G30">
        <v>2</v>
      </c>
    </row>
    <row r="31" spans="1:7" x14ac:dyDescent="0.25">
      <c r="A31">
        <v>43.779850006103501</v>
      </c>
      <c r="B31" t="s">
        <v>47</v>
      </c>
      <c r="C31" t="s">
        <v>102</v>
      </c>
      <c r="D31" t="s">
        <v>101</v>
      </c>
      <c r="E31">
        <v>0.5</v>
      </c>
      <c r="F31">
        <v>0.33333333333333298</v>
      </c>
      <c r="G31">
        <v>2</v>
      </c>
    </row>
    <row r="32" spans="1:7" x14ac:dyDescent="0.25">
      <c r="A32">
        <v>42.239665985107401</v>
      </c>
      <c r="B32" t="s">
        <v>48</v>
      </c>
      <c r="C32" t="s">
        <v>104</v>
      </c>
      <c r="D32" t="s">
        <v>101</v>
      </c>
      <c r="E32">
        <v>0.5</v>
      </c>
      <c r="F32">
        <v>0.33333333333333298</v>
      </c>
      <c r="G32">
        <v>2</v>
      </c>
    </row>
    <row r="33" spans="1:7" x14ac:dyDescent="0.25">
      <c r="A33">
        <v>42.437314987182603</v>
      </c>
      <c r="B33" t="s">
        <v>50</v>
      </c>
      <c r="C33" t="s">
        <v>95</v>
      </c>
      <c r="D33" t="s">
        <v>101</v>
      </c>
      <c r="E33">
        <v>0</v>
      </c>
      <c r="F33">
        <v>0</v>
      </c>
      <c r="G33">
        <v>2</v>
      </c>
    </row>
    <row r="34" spans="1:7" x14ac:dyDescent="0.25">
      <c r="A34">
        <v>44.585466384887603</v>
      </c>
      <c r="B34" t="s">
        <v>51</v>
      </c>
      <c r="C34" t="s">
        <v>101</v>
      </c>
      <c r="D34" t="s">
        <v>101</v>
      </c>
      <c r="E34">
        <v>1</v>
      </c>
      <c r="F34">
        <v>1</v>
      </c>
      <c r="G34">
        <v>2</v>
      </c>
    </row>
    <row r="35" spans="1:7" x14ac:dyDescent="0.25">
      <c r="A35">
        <v>53.536415100097599</v>
      </c>
      <c r="B35" t="s">
        <v>52</v>
      </c>
      <c r="C35" t="s">
        <v>101</v>
      </c>
      <c r="D35" t="s">
        <v>101</v>
      </c>
      <c r="E35">
        <v>1</v>
      </c>
      <c r="F35">
        <v>1</v>
      </c>
      <c r="G35">
        <v>2</v>
      </c>
    </row>
    <row r="36" spans="1:7" x14ac:dyDescent="0.25">
      <c r="A36">
        <v>46.598911285400298</v>
      </c>
      <c r="B36" t="s">
        <v>53</v>
      </c>
      <c r="C36" t="s">
        <v>101</v>
      </c>
      <c r="D36" t="s">
        <v>101</v>
      </c>
      <c r="E36">
        <v>1</v>
      </c>
      <c r="F36">
        <v>1</v>
      </c>
      <c r="G36">
        <v>2</v>
      </c>
    </row>
    <row r="37" spans="1:7" x14ac:dyDescent="0.25">
      <c r="A37">
        <v>42.873620986938398</v>
      </c>
      <c r="B37" t="s">
        <v>54</v>
      </c>
      <c r="C37" t="s">
        <v>102</v>
      </c>
      <c r="D37" t="s">
        <v>101</v>
      </c>
      <c r="E37">
        <v>0.5</v>
      </c>
      <c r="F37">
        <v>0.33333333333333298</v>
      </c>
      <c r="G37">
        <v>2</v>
      </c>
    </row>
    <row r="38" spans="1:7" x14ac:dyDescent="0.25">
      <c r="A38">
        <v>44.735670089721602</v>
      </c>
      <c r="B38" t="s">
        <v>55</v>
      </c>
      <c r="C38" t="s">
        <v>102</v>
      </c>
      <c r="D38" t="s">
        <v>101</v>
      </c>
      <c r="E38">
        <v>0.5</v>
      </c>
      <c r="F38">
        <v>0.33333333333333298</v>
      </c>
      <c r="G38">
        <v>2</v>
      </c>
    </row>
    <row r="39" spans="1:7" x14ac:dyDescent="0.25">
      <c r="A39">
        <v>44.506072998046797</v>
      </c>
      <c r="B39" t="s">
        <v>56</v>
      </c>
      <c r="C39" t="s">
        <v>101</v>
      </c>
      <c r="D39" t="s">
        <v>101</v>
      </c>
      <c r="E39">
        <v>1</v>
      </c>
      <c r="F39">
        <v>1</v>
      </c>
      <c r="G39">
        <v>2</v>
      </c>
    </row>
    <row r="40" spans="1:7" x14ac:dyDescent="0.25">
      <c r="A40">
        <v>44.490098953246999</v>
      </c>
      <c r="B40" t="s">
        <v>57</v>
      </c>
      <c r="C40" t="s">
        <v>101</v>
      </c>
      <c r="D40" t="s">
        <v>101</v>
      </c>
      <c r="E40">
        <v>1</v>
      </c>
      <c r="F40">
        <v>1</v>
      </c>
      <c r="G40">
        <v>2</v>
      </c>
    </row>
    <row r="41" spans="1:7" x14ac:dyDescent="0.25">
      <c r="A41">
        <v>41.7010784149169</v>
      </c>
      <c r="B41" t="s">
        <v>58</v>
      </c>
      <c r="C41" t="s">
        <v>25</v>
      </c>
      <c r="D41" t="s">
        <v>101</v>
      </c>
      <c r="E41">
        <v>0.5</v>
      </c>
      <c r="F41">
        <v>0.33333333333333298</v>
      </c>
      <c r="G41">
        <v>2</v>
      </c>
    </row>
    <row r="42" spans="1:7" x14ac:dyDescent="0.25">
      <c r="A42">
        <v>45.405626296996999</v>
      </c>
      <c r="B42" t="s">
        <v>59</v>
      </c>
      <c r="C42" t="s">
        <v>101</v>
      </c>
      <c r="D42" t="s">
        <v>101</v>
      </c>
      <c r="E42">
        <v>1</v>
      </c>
      <c r="F42">
        <v>1</v>
      </c>
      <c r="G42">
        <v>2</v>
      </c>
    </row>
    <row r="43" spans="1:7" x14ac:dyDescent="0.25">
      <c r="A43">
        <v>41.563272476196197</v>
      </c>
      <c r="B43" t="s">
        <v>60</v>
      </c>
      <c r="C43" t="s">
        <v>95</v>
      </c>
      <c r="D43" t="s">
        <v>101</v>
      </c>
      <c r="E43">
        <v>0</v>
      </c>
      <c r="F43">
        <v>0</v>
      </c>
      <c r="G43">
        <v>2</v>
      </c>
    </row>
    <row r="44" spans="1:7" x14ac:dyDescent="0.25">
      <c r="A44">
        <v>27.8608798980712</v>
      </c>
      <c r="B44" t="s">
        <v>61</v>
      </c>
      <c r="C44" t="s">
        <v>103</v>
      </c>
      <c r="D44" t="s">
        <v>103</v>
      </c>
      <c r="E44">
        <v>1</v>
      </c>
      <c r="F44">
        <v>1</v>
      </c>
      <c r="G44">
        <v>1</v>
      </c>
    </row>
    <row r="45" spans="1:7" x14ac:dyDescent="0.25">
      <c r="A45">
        <v>43.109655380249002</v>
      </c>
      <c r="B45" t="s">
        <v>62</v>
      </c>
      <c r="C45" t="s">
        <v>102</v>
      </c>
      <c r="D45" t="s">
        <v>101</v>
      </c>
      <c r="E45">
        <v>0.5</v>
      </c>
      <c r="F45">
        <v>0.33333333333333298</v>
      </c>
      <c r="G45">
        <v>2</v>
      </c>
    </row>
    <row r="46" spans="1:7" x14ac:dyDescent="0.25">
      <c r="A46">
        <v>26.009559631347599</v>
      </c>
      <c r="B46" t="s">
        <v>63</v>
      </c>
      <c r="C46" t="s">
        <v>98</v>
      </c>
      <c r="D46" t="s">
        <v>103</v>
      </c>
      <c r="E46">
        <v>0</v>
      </c>
      <c r="F46">
        <v>0</v>
      </c>
      <c r="G46">
        <v>1</v>
      </c>
    </row>
    <row r="47" spans="1:7" x14ac:dyDescent="0.25">
      <c r="A47">
        <v>42.910337448120103</v>
      </c>
      <c r="B47" t="s">
        <v>64</v>
      </c>
      <c r="C47" t="s">
        <v>102</v>
      </c>
      <c r="D47" t="s">
        <v>101</v>
      </c>
      <c r="E47">
        <v>0.5</v>
      </c>
      <c r="F47">
        <v>0.33333333333333298</v>
      </c>
      <c r="G47">
        <v>2</v>
      </c>
    </row>
    <row r="48" spans="1:7" x14ac:dyDescent="0.25">
      <c r="A48">
        <v>45.666217803955</v>
      </c>
      <c r="B48" t="s">
        <v>65</v>
      </c>
      <c r="C48" t="s">
        <v>102</v>
      </c>
      <c r="D48" t="s">
        <v>101</v>
      </c>
      <c r="E48">
        <v>0.5</v>
      </c>
      <c r="F48">
        <v>0.33333333333333298</v>
      </c>
      <c r="G48">
        <v>2</v>
      </c>
    </row>
    <row r="49" spans="1:7" x14ac:dyDescent="0.25">
      <c r="A49">
        <v>27.2848606109619</v>
      </c>
      <c r="B49" t="s">
        <v>66</v>
      </c>
      <c r="C49" t="s">
        <v>103</v>
      </c>
      <c r="D49" t="s">
        <v>103</v>
      </c>
      <c r="E49">
        <v>1</v>
      </c>
      <c r="F49">
        <v>1</v>
      </c>
      <c r="G49">
        <v>1</v>
      </c>
    </row>
    <row r="50" spans="1:7" x14ac:dyDescent="0.25">
      <c r="A50">
        <v>42.400121688842702</v>
      </c>
      <c r="B50" t="s">
        <v>67</v>
      </c>
      <c r="C50" t="s">
        <v>95</v>
      </c>
      <c r="D50" t="s">
        <v>101</v>
      </c>
      <c r="E50">
        <v>0</v>
      </c>
      <c r="F50">
        <v>0</v>
      </c>
      <c r="G50">
        <v>2</v>
      </c>
    </row>
    <row r="51" spans="1:7" x14ac:dyDescent="0.25">
      <c r="A51">
        <v>42.457103729247997</v>
      </c>
      <c r="B51" t="s">
        <v>68</v>
      </c>
      <c r="C51" t="s">
        <v>102</v>
      </c>
      <c r="D51" t="s">
        <v>101</v>
      </c>
      <c r="E51">
        <v>0.5</v>
      </c>
      <c r="F51">
        <v>0.33333333333333298</v>
      </c>
      <c r="G51">
        <v>2</v>
      </c>
    </row>
    <row r="52" spans="1:7" x14ac:dyDescent="0.25">
      <c r="A52">
        <v>26.150941848754801</v>
      </c>
      <c r="B52" t="s">
        <v>69</v>
      </c>
      <c r="C52" t="s">
        <v>98</v>
      </c>
      <c r="D52" t="s">
        <v>103</v>
      </c>
      <c r="E52">
        <v>0</v>
      </c>
      <c r="F52">
        <v>0</v>
      </c>
      <c r="G52">
        <v>1</v>
      </c>
    </row>
    <row r="53" spans="1:7" x14ac:dyDescent="0.25">
      <c r="A53">
        <v>46.488523483276303</v>
      </c>
      <c r="B53" t="s">
        <v>70</v>
      </c>
      <c r="C53" t="s">
        <v>101</v>
      </c>
      <c r="D53" t="s">
        <v>101</v>
      </c>
      <c r="E53">
        <v>1</v>
      </c>
      <c r="F53">
        <v>1</v>
      </c>
      <c r="G53">
        <v>2</v>
      </c>
    </row>
    <row r="54" spans="1:7" x14ac:dyDescent="0.25">
      <c r="A54">
        <v>47.714710235595703</v>
      </c>
      <c r="B54" t="s">
        <v>71</v>
      </c>
      <c r="C54" t="s">
        <v>95</v>
      </c>
      <c r="D54" t="s">
        <v>101</v>
      </c>
      <c r="E54">
        <v>0</v>
      </c>
      <c r="F54">
        <v>0</v>
      </c>
      <c r="G54">
        <v>2</v>
      </c>
    </row>
    <row r="55" spans="1:7" x14ac:dyDescent="0.25">
      <c r="A55">
        <v>46.203136444091797</v>
      </c>
      <c r="B55" t="s">
        <v>72</v>
      </c>
      <c r="C55" t="s">
        <v>101</v>
      </c>
      <c r="D55" t="s">
        <v>101</v>
      </c>
      <c r="E55">
        <v>1</v>
      </c>
      <c r="F55">
        <v>1</v>
      </c>
      <c r="G55">
        <v>2</v>
      </c>
    </row>
    <row r="56" spans="1:7" x14ac:dyDescent="0.25">
      <c r="A56">
        <v>43.790340423583899</v>
      </c>
      <c r="B56" t="s">
        <v>73</v>
      </c>
      <c r="C56" t="s">
        <v>102</v>
      </c>
      <c r="D56" t="s">
        <v>101</v>
      </c>
      <c r="E56">
        <v>0.5</v>
      </c>
      <c r="F56">
        <v>0.33333333333333298</v>
      </c>
      <c r="G56">
        <v>2</v>
      </c>
    </row>
    <row r="57" spans="1:7" x14ac:dyDescent="0.25">
      <c r="A57">
        <v>45.773744583129798</v>
      </c>
      <c r="B57" t="s">
        <v>74</v>
      </c>
      <c r="C57" t="s">
        <v>25</v>
      </c>
      <c r="D57" t="s">
        <v>101</v>
      </c>
      <c r="E57">
        <v>0.5</v>
      </c>
      <c r="F57">
        <v>0.33333333333333298</v>
      </c>
      <c r="G57">
        <v>2</v>
      </c>
    </row>
    <row r="58" spans="1:7" x14ac:dyDescent="0.25">
      <c r="A58">
        <v>44.23189163208</v>
      </c>
      <c r="B58" t="s">
        <v>75</v>
      </c>
      <c r="C58" t="s">
        <v>101</v>
      </c>
      <c r="D58" t="s">
        <v>101</v>
      </c>
      <c r="E58">
        <v>1</v>
      </c>
      <c r="F58">
        <v>1</v>
      </c>
      <c r="G58">
        <v>2</v>
      </c>
    </row>
    <row r="59" spans="1:7" x14ac:dyDescent="0.25">
      <c r="A59">
        <v>26.9529819488525</v>
      </c>
      <c r="B59" t="s">
        <v>76</v>
      </c>
      <c r="C59" t="s">
        <v>103</v>
      </c>
      <c r="D59" t="s">
        <v>103</v>
      </c>
      <c r="E59">
        <v>1</v>
      </c>
      <c r="F59">
        <v>1</v>
      </c>
      <c r="G59">
        <v>1</v>
      </c>
    </row>
    <row r="60" spans="1:7" x14ac:dyDescent="0.25">
      <c r="A60">
        <v>45.789957046508697</v>
      </c>
      <c r="B60" t="s">
        <v>77</v>
      </c>
      <c r="C60" t="s">
        <v>101</v>
      </c>
      <c r="D60" t="s">
        <v>101</v>
      </c>
      <c r="E60">
        <v>1</v>
      </c>
      <c r="F60">
        <v>1</v>
      </c>
      <c r="G60">
        <v>2</v>
      </c>
    </row>
    <row r="61" spans="1:7" x14ac:dyDescent="0.25">
      <c r="A61">
        <v>45.321702957153299</v>
      </c>
      <c r="B61" t="s">
        <v>78</v>
      </c>
      <c r="C61" t="s">
        <v>101</v>
      </c>
      <c r="D61" t="s">
        <v>101</v>
      </c>
      <c r="E61">
        <v>1</v>
      </c>
      <c r="F61">
        <v>1</v>
      </c>
      <c r="G61">
        <v>2</v>
      </c>
    </row>
    <row r="62" spans="1:7" x14ac:dyDescent="0.25">
      <c r="A62">
        <v>43.251991271972599</v>
      </c>
      <c r="B62" t="s">
        <v>79</v>
      </c>
      <c r="C62" t="s">
        <v>101</v>
      </c>
      <c r="D62" t="s">
        <v>101</v>
      </c>
      <c r="E62">
        <v>1</v>
      </c>
      <c r="F62">
        <v>1</v>
      </c>
      <c r="G62">
        <v>2</v>
      </c>
    </row>
    <row r="63" spans="1:7" x14ac:dyDescent="0.25">
      <c r="A63">
        <v>46.374559402465799</v>
      </c>
      <c r="B63" t="s">
        <v>80</v>
      </c>
      <c r="C63" t="s">
        <v>25</v>
      </c>
      <c r="D63" t="s">
        <v>101</v>
      </c>
      <c r="E63">
        <v>0.5</v>
      </c>
      <c r="F63">
        <v>0.33333333333333298</v>
      </c>
      <c r="G63">
        <v>2</v>
      </c>
    </row>
    <row r="64" spans="1:7" x14ac:dyDescent="0.25">
      <c r="A64">
        <v>44.715642929077099</v>
      </c>
      <c r="B64" t="s">
        <v>81</v>
      </c>
      <c r="C64" t="s">
        <v>101</v>
      </c>
      <c r="D64" t="s">
        <v>101</v>
      </c>
      <c r="E64">
        <v>1</v>
      </c>
      <c r="F64">
        <v>1</v>
      </c>
      <c r="G64">
        <v>2</v>
      </c>
    </row>
    <row r="65" spans="1:7" x14ac:dyDescent="0.25">
      <c r="A65">
        <v>44.930696487426701</v>
      </c>
      <c r="B65" t="s">
        <v>82</v>
      </c>
      <c r="C65" t="s">
        <v>101</v>
      </c>
      <c r="D65" t="s">
        <v>101</v>
      </c>
      <c r="E65">
        <v>1</v>
      </c>
      <c r="F65">
        <v>1</v>
      </c>
      <c r="G65">
        <v>2</v>
      </c>
    </row>
    <row r="66" spans="1:7" x14ac:dyDescent="0.25">
      <c r="A66">
        <v>45.336961746215799</v>
      </c>
      <c r="B66" t="s">
        <v>83</v>
      </c>
      <c r="C66" t="s">
        <v>101</v>
      </c>
      <c r="D66" t="s">
        <v>101</v>
      </c>
      <c r="E66">
        <v>1</v>
      </c>
      <c r="F66">
        <v>1</v>
      </c>
      <c r="G66">
        <v>2</v>
      </c>
    </row>
    <row r="67" spans="1:7" x14ac:dyDescent="0.25">
      <c r="A67">
        <v>23.056983947753899</v>
      </c>
      <c r="B67" t="s">
        <v>84</v>
      </c>
      <c r="C67" t="s">
        <v>103</v>
      </c>
      <c r="D67" t="s">
        <v>103</v>
      </c>
      <c r="E67">
        <v>1</v>
      </c>
      <c r="F67">
        <v>1</v>
      </c>
      <c r="G67">
        <v>1</v>
      </c>
    </row>
    <row r="68" spans="1:7" x14ac:dyDescent="0.25">
      <c r="A68">
        <v>48.1796264648437</v>
      </c>
      <c r="B68" t="s">
        <v>85</v>
      </c>
      <c r="C68" t="s">
        <v>101</v>
      </c>
      <c r="D68" t="s">
        <v>101</v>
      </c>
      <c r="E68">
        <v>1</v>
      </c>
      <c r="F68">
        <v>1</v>
      </c>
      <c r="G68">
        <v>2</v>
      </c>
    </row>
    <row r="69" spans="1:7" x14ac:dyDescent="0.25">
      <c r="A69">
        <v>44.598817825317298</v>
      </c>
      <c r="B69" t="s">
        <v>86</v>
      </c>
      <c r="C69" t="s">
        <v>25</v>
      </c>
      <c r="D69" t="s">
        <v>101</v>
      </c>
      <c r="E69">
        <v>0.5</v>
      </c>
      <c r="F69">
        <v>0.33333333333333298</v>
      </c>
      <c r="G69">
        <v>2</v>
      </c>
    </row>
    <row r="70" spans="1:7" x14ac:dyDescent="0.25">
      <c r="A70">
        <v>44.015884399413999</v>
      </c>
      <c r="B70" t="s">
        <v>87</v>
      </c>
      <c r="C70" t="s">
        <v>101</v>
      </c>
      <c r="D70" t="s">
        <v>101</v>
      </c>
      <c r="E70">
        <v>1</v>
      </c>
      <c r="F70">
        <v>1</v>
      </c>
      <c r="G70">
        <v>2</v>
      </c>
    </row>
    <row r="71" spans="1:7" x14ac:dyDescent="0.25">
      <c r="A71">
        <v>45.606613159179602</v>
      </c>
      <c r="B71" t="s">
        <v>88</v>
      </c>
      <c r="C71" t="s">
        <v>25</v>
      </c>
      <c r="D71" t="s">
        <v>101</v>
      </c>
      <c r="E71">
        <v>0.5</v>
      </c>
      <c r="F71">
        <v>0.33333333333333298</v>
      </c>
      <c r="G71">
        <v>2</v>
      </c>
    </row>
    <row r="72" spans="1:7" x14ac:dyDescent="0.25">
      <c r="A72">
        <v>45.113801956176701</v>
      </c>
      <c r="B72" t="s">
        <v>89</v>
      </c>
      <c r="C72" t="s">
        <v>101</v>
      </c>
      <c r="D72" t="s">
        <v>101</v>
      </c>
      <c r="E72">
        <v>1</v>
      </c>
      <c r="F72">
        <v>1</v>
      </c>
      <c r="G72">
        <v>2</v>
      </c>
    </row>
    <row r="73" spans="1:7" x14ac:dyDescent="0.25">
      <c r="A73">
        <v>46.818971633911097</v>
      </c>
      <c r="B73" t="s">
        <v>90</v>
      </c>
      <c r="C73" t="s">
        <v>102</v>
      </c>
      <c r="D73" t="s">
        <v>101</v>
      </c>
      <c r="E73">
        <v>0.5</v>
      </c>
      <c r="F73">
        <v>0.33333333333333298</v>
      </c>
      <c r="G73">
        <v>2</v>
      </c>
    </row>
    <row r="74" spans="1:7" x14ac:dyDescent="0.25">
      <c r="A74">
        <v>48.658132553100501</v>
      </c>
      <c r="B74" t="s">
        <v>91</v>
      </c>
      <c r="C74" t="s">
        <v>102</v>
      </c>
      <c r="D74" t="s">
        <v>101</v>
      </c>
      <c r="E74">
        <v>0.5</v>
      </c>
      <c r="F74">
        <v>0.33333333333333298</v>
      </c>
      <c r="G74">
        <v>2</v>
      </c>
    </row>
    <row r="75" spans="1:7" x14ac:dyDescent="0.25">
      <c r="A75">
        <v>44.885158538818303</v>
      </c>
      <c r="B75" t="s">
        <v>92</v>
      </c>
      <c r="C75" t="s">
        <v>101</v>
      </c>
      <c r="D75" t="s">
        <v>101</v>
      </c>
      <c r="E75">
        <v>1</v>
      </c>
      <c r="F75">
        <v>1</v>
      </c>
      <c r="G75">
        <v>2</v>
      </c>
    </row>
    <row r="76" spans="1:7" x14ac:dyDescent="0.25">
      <c r="A76">
        <v>44.272661209106403</v>
      </c>
      <c r="B76" t="s">
        <v>93</v>
      </c>
      <c r="C76" t="s">
        <v>101</v>
      </c>
      <c r="D76" t="s">
        <v>101</v>
      </c>
      <c r="E76">
        <v>1</v>
      </c>
      <c r="F76">
        <v>1</v>
      </c>
      <c r="G76">
        <v>2</v>
      </c>
    </row>
    <row r="77" spans="1:7" x14ac:dyDescent="0.25">
      <c r="A77">
        <v>44.859409332275298</v>
      </c>
      <c r="B77" t="s">
        <v>94</v>
      </c>
      <c r="C77" t="s">
        <v>101</v>
      </c>
      <c r="D77" t="s">
        <v>101</v>
      </c>
      <c r="E77">
        <v>1</v>
      </c>
      <c r="F77">
        <v>1</v>
      </c>
      <c r="G77">
        <v>2</v>
      </c>
    </row>
    <row r="80" spans="1:7" x14ac:dyDescent="0.25">
      <c r="A80">
        <f>AVERAGE(A4:A77)</f>
        <v>42.208552360534647</v>
      </c>
      <c r="E80">
        <f>SUBTOTAL(101,detection_results3__3[Column5])</f>
        <v>0.71333333333333337</v>
      </c>
      <c r="F80">
        <f>SUBTOTAL(101,detection_results3__3[Column6])</f>
        <v>0.65333333333333321</v>
      </c>
      <c r="G80">
        <f>SUBTOTAL(101,detection_results3__3[Column7])</f>
        <v>1.88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65EB-38A8-4E34-B6B3-1A8CED7426DE}">
  <dimension ref="A1:G82"/>
  <sheetViews>
    <sheetView topLeftCell="A46" workbookViewId="0">
      <selection activeCell="A79" sqref="A79"/>
    </sheetView>
  </sheetViews>
  <sheetFormatPr defaultRowHeight="15" x14ac:dyDescent="0.25"/>
  <cols>
    <col min="1" max="1" width="18.85546875" bestFit="1" customWidth="1"/>
    <col min="2" max="5" width="11.42578125" bestFit="1" customWidth="1"/>
    <col min="6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>
        <v>4294.0020561218198</v>
      </c>
      <c r="B3" t="s">
        <v>14</v>
      </c>
      <c r="C3" t="s">
        <v>95</v>
      </c>
      <c r="D3" t="s">
        <v>95</v>
      </c>
      <c r="E3">
        <v>1</v>
      </c>
      <c r="F3">
        <v>1</v>
      </c>
      <c r="G3" t="s">
        <v>26</v>
      </c>
    </row>
    <row r="4" spans="1:7" x14ac:dyDescent="0.25">
      <c r="A4">
        <v>40.993213653564403</v>
      </c>
      <c r="B4" t="s">
        <v>18</v>
      </c>
      <c r="C4" t="s">
        <v>95</v>
      </c>
      <c r="D4" t="s">
        <v>95</v>
      </c>
      <c r="E4">
        <v>1</v>
      </c>
      <c r="F4">
        <v>1</v>
      </c>
      <c r="G4" t="s">
        <v>26</v>
      </c>
    </row>
    <row r="5" spans="1:7" x14ac:dyDescent="0.25">
      <c r="A5">
        <v>42.214632034301701</v>
      </c>
      <c r="B5" t="s">
        <v>19</v>
      </c>
      <c r="C5" t="s">
        <v>95</v>
      </c>
      <c r="D5" t="s">
        <v>95</v>
      </c>
      <c r="E5">
        <v>1</v>
      </c>
      <c r="F5">
        <v>1</v>
      </c>
      <c r="G5" t="s">
        <v>26</v>
      </c>
    </row>
    <row r="6" spans="1:7" x14ac:dyDescent="0.25">
      <c r="A6">
        <v>41.275262832641602</v>
      </c>
      <c r="B6" t="s">
        <v>20</v>
      </c>
      <c r="C6" t="s">
        <v>96</v>
      </c>
      <c r="D6" t="s">
        <v>95</v>
      </c>
      <c r="E6">
        <v>0.5</v>
      </c>
      <c r="F6">
        <v>0.33333333333333298</v>
      </c>
      <c r="G6" t="s">
        <v>26</v>
      </c>
    </row>
    <row r="7" spans="1:7" x14ac:dyDescent="0.25">
      <c r="A7">
        <v>46.302080154418903</v>
      </c>
      <c r="B7" t="s">
        <v>21</v>
      </c>
      <c r="C7" t="s">
        <v>95</v>
      </c>
      <c r="D7" t="s">
        <v>95</v>
      </c>
      <c r="E7">
        <v>1</v>
      </c>
      <c r="F7">
        <v>1</v>
      </c>
      <c r="G7" t="s">
        <v>26</v>
      </c>
    </row>
    <row r="8" spans="1:7" x14ac:dyDescent="0.25">
      <c r="A8">
        <v>41.116714477538999</v>
      </c>
      <c r="B8" t="s">
        <v>22</v>
      </c>
      <c r="C8" t="s">
        <v>95</v>
      </c>
      <c r="D8" t="s">
        <v>95</v>
      </c>
      <c r="E8">
        <v>1</v>
      </c>
      <c r="F8">
        <v>1</v>
      </c>
      <c r="G8" t="s">
        <v>26</v>
      </c>
    </row>
    <row r="9" spans="1:7" x14ac:dyDescent="0.25">
      <c r="A9">
        <v>41.139364242553697</v>
      </c>
      <c r="B9" t="s">
        <v>23</v>
      </c>
      <c r="C9" t="s">
        <v>95</v>
      </c>
      <c r="D9" t="s">
        <v>95</v>
      </c>
      <c r="E9">
        <v>1</v>
      </c>
      <c r="F9">
        <v>1</v>
      </c>
      <c r="G9" t="s">
        <v>26</v>
      </c>
    </row>
    <row r="10" spans="1:7" x14ac:dyDescent="0.25">
      <c r="A10">
        <v>41.312694549560497</v>
      </c>
      <c r="B10" t="s">
        <v>24</v>
      </c>
      <c r="C10" t="s">
        <v>95</v>
      </c>
      <c r="D10" t="s">
        <v>95</v>
      </c>
      <c r="E10">
        <v>1</v>
      </c>
      <c r="F10">
        <v>1</v>
      </c>
      <c r="G10" t="s">
        <v>26</v>
      </c>
    </row>
    <row r="11" spans="1:7" x14ac:dyDescent="0.25">
      <c r="A11">
        <v>42.3736572265625</v>
      </c>
      <c r="B11" t="s">
        <v>27</v>
      </c>
      <c r="C11" t="s">
        <v>95</v>
      </c>
      <c r="D11" t="s">
        <v>95</v>
      </c>
      <c r="E11">
        <v>1</v>
      </c>
      <c r="F11">
        <v>1</v>
      </c>
      <c r="G11" t="s">
        <v>26</v>
      </c>
    </row>
    <row r="12" spans="1:7" x14ac:dyDescent="0.25">
      <c r="A12">
        <v>42.327642440795898</v>
      </c>
      <c r="B12" t="s">
        <v>28</v>
      </c>
      <c r="C12" t="s">
        <v>95</v>
      </c>
      <c r="D12" t="s">
        <v>95</v>
      </c>
      <c r="E12">
        <v>1</v>
      </c>
      <c r="F12">
        <v>1</v>
      </c>
      <c r="G12" t="s">
        <v>26</v>
      </c>
    </row>
    <row r="13" spans="1:7" x14ac:dyDescent="0.25">
      <c r="A13">
        <v>41.831254959106403</v>
      </c>
      <c r="B13" t="s">
        <v>29</v>
      </c>
      <c r="C13" t="s">
        <v>95</v>
      </c>
      <c r="D13" t="s">
        <v>95</v>
      </c>
      <c r="E13">
        <v>1</v>
      </c>
      <c r="F13">
        <v>1</v>
      </c>
      <c r="G13" t="s">
        <v>26</v>
      </c>
    </row>
    <row r="14" spans="1:7" x14ac:dyDescent="0.25">
      <c r="A14">
        <v>42.003870010375898</v>
      </c>
      <c r="B14" t="s">
        <v>30</v>
      </c>
      <c r="C14" t="s">
        <v>95</v>
      </c>
      <c r="D14" t="s">
        <v>95</v>
      </c>
      <c r="E14">
        <v>1</v>
      </c>
      <c r="F14">
        <v>1</v>
      </c>
      <c r="G14" t="s">
        <v>26</v>
      </c>
    </row>
    <row r="15" spans="1:7" x14ac:dyDescent="0.25">
      <c r="A15">
        <v>42.405128479003899</v>
      </c>
      <c r="B15" t="s">
        <v>31</v>
      </c>
      <c r="C15" t="s">
        <v>95</v>
      </c>
      <c r="D15" t="s">
        <v>95</v>
      </c>
      <c r="E15">
        <v>1</v>
      </c>
      <c r="F15">
        <v>1</v>
      </c>
      <c r="G15" t="s">
        <v>26</v>
      </c>
    </row>
    <row r="16" spans="1:7" x14ac:dyDescent="0.25">
      <c r="A16">
        <v>41.621923446655202</v>
      </c>
      <c r="B16" t="s">
        <v>32</v>
      </c>
      <c r="C16" t="s">
        <v>95</v>
      </c>
      <c r="D16" t="s">
        <v>95</v>
      </c>
      <c r="E16">
        <v>1</v>
      </c>
      <c r="F16">
        <v>1</v>
      </c>
      <c r="G16" t="s">
        <v>26</v>
      </c>
    </row>
    <row r="17" spans="1:7" x14ac:dyDescent="0.25">
      <c r="A17">
        <v>41.516304016113203</v>
      </c>
      <c r="B17" t="s">
        <v>33</v>
      </c>
      <c r="C17" t="s">
        <v>95</v>
      </c>
      <c r="D17" t="s">
        <v>95</v>
      </c>
      <c r="E17">
        <v>1</v>
      </c>
      <c r="F17">
        <v>1</v>
      </c>
      <c r="G17" t="s">
        <v>26</v>
      </c>
    </row>
    <row r="18" spans="1:7" x14ac:dyDescent="0.25">
      <c r="A18">
        <v>42.160511016845703</v>
      </c>
      <c r="B18" t="s">
        <v>34</v>
      </c>
      <c r="C18" t="s">
        <v>95</v>
      </c>
      <c r="D18" t="s">
        <v>95</v>
      </c>
      <c r="E18">
        <v>1</v>
      </c>
      <c r="F18">
        <v>1</v>
      </c>
      <c r="G18" t="s">
        <v>26</v>
      </c>
    </row>
    <row r="19" spans="1:7" x14ac:dyDescent="0.25">
      <c r="A19">
        <v>46.676158905029297</v>
      </c>
      <c r="B19" t="s">
        <v>35</v>
      </c>
      <c r="C19" t="s">
        <v>95</v>
      </c>
      <c r="D19" t="s">
        <v>95</v>
      </c>
      <c r="E19">
        <v>1</v>
      </c>
      <c r="F19">
        <v>1</v>
      </c>
      <c r="G19" t="s">
        <v>26</v>
      </c>
    </row>
    <row r="20" spans="1:7" x14ac:dyDescent="0.25">
      <c r="A20">
        <v>41.362524032592702</v>
      </c>
      <c r="B20" t="s">
        <v>36</v>
      </c>
      <c r="C20" t="s">
        <v>95</v>
      </c>
      <c r="D20" t="s">
        <v>95</v>
      </c>
      <c r="E20">
        <v>1</v>
      </c>
      <c r="F20">
        <v>1</v>
      </c>
      <c r="G20" t="s">
        <v>26</v>
      </c>
    </row>
    <row r="21" spans="1:7" x14ac:dyDescent="0.25">
      <c r="A21">
        <v>41.6760444641113</v>
      </c>
      <c r="B21" t="s">
        <v>37</v>
      </c>
      <c r="C21" t="s">
        <v>95</v>
      </c>
      <c r="D21" t="s">
        <v>95</v>
      </c>
      <c r="E21">
        <v>1</v>
      </c>
      <c r="F21">
        <v>1</v>
      </c>
      <c r="G21" t="s">
        <v>26</v>
      </c>
    </row>
    <row r="22" spans="1:7" x14ac:dyDescent="0.25">
      <c r="A22">
        <v>42.297840118408203</v>
      </c>
      <c r="B22" t="s">
        <v>38</v>
      </c>
      <c r="C22" t="s">
        <v>95</v>
      </c>
      <c r="D22" t="s">
        <v>95</v>
      </c>
      <c r="E22">
        <v>1</v>
      </c>
      <c r="F22">
        <v>1</v>
      </c>
      <c r="G22" t="s">
        <v>26</v>
      </c>
    </row>
    <row r="23" spans="1:7" x14ac:dyDescent="0.25">
      <c r="A23">
        <v>41.250467300415004</v>
      </c>
      <c r="B23" t="s">
        <v>39</v>
      </c>
      <c r="C23" t="s">
        <v>95</v>
      </c>
      <c r="D23" t="s">
        <v>95</v>
      </c>
      <c r="E23">
        <v>1</v>
      </c>
      <c r="F23">
        <v>1</v>
      </c>
      <c r="G23" t="s">
        <v>26</v>
      </c>
    </row>
    <row r="24" spans="1:7" x14ac:dyDescent="0.25">
      <c r="A24">
        <v>41.778087615966797</v>
      </c>
      <c r="B24" t="s">
        <v>40</v>
      </c>
      <c r="C24" t="s">
        <v>95</v>
      </c>
      <c r="D24" t="s">
        <v>95</v>
      </c>
      <c r="E24">
        <v>1</v>
      </c>
      <c r="F24">
        <v>1</v>
      </c>
      <c r="G24" t="s">
        <v>26</v>
      </c>
    </row>
    <row r="25" spans="1:7" x14ac:dyDescent="0.25">
      <c r="A25">
        <v>43.121337890625</v>
      </c>
      <c r="B25" t="s">
        <v>41</v>
      </c>
      <c r="C25" t="s">
        <v>95</v>
      </c>
      <c r="D25" t="s">
        <v>95</v>
      </c>
      <c r="E25">
        <v>1</v>
      </c>
      <c r="F25">
        <v>1</v>
      </c>
      <c r="G25" t="s">
        <v>26</v>
      </c>
    </row>
    <row r="26" spans="1:7" x14ac:dyDescent="0.25">
      <c r="A26">
        <v>41.819334030151303</v>
      </c>
      <c r="B26" t="s">
        <v>42</v>
      </c>
      <c r="C26" t="s">
        <v>95</v>
      </c>
      <c r="D26" t="s">
        <v>95</v>
      </c>
      <c r="E26">
        <v>1</v>
      </c>
      <c r="F26">
        <v>1</v>
      </c>
      <c r="G26" t="s">
        <v>26</v>
      </c>
    </row>
    <row r="27" spans="1:7" x14ac:dyDescent="0.25">
      <c r="A27">
        <v>46.021223068237298</v>
      </c>
      <c r="B27" t="s">
        <v>43</v>
      </c>
      <c r="C27" t="s">
        <v>95</v>
      </c>
      <c r="D27" t="s">
        <v>95</v>
      </c>
      <c r="E27">
        <v>1</v>
      </c>
      <c r="F27">
        <v>1</v>
      </c>
      <c r="G27" t="s">
        <v>26</v>
      </c>
    </row>
    <row r="28" spans="1:7" x14ac:dyDescent="0.25">
      <c r="A28">
        <v>42.145967483520501</v>
      </c>
      <c r="B28" t="s">
        <v>44</v>
      </c>
      <c r="C28" t="s">
        <v>95</v>
      </c>
      <c r="D28" t="s">
        <v>95</v>
      </c>
      <c r="E28">
        <v>1</v>
      </c>
      <c r="F28">
        <v>1</v>
      </c>
      <c r="G28" t="s">
        <v>26</v>
      </c>
    </row>
    <row r="29" spans="1:7" x14ac:dyDescent="0.25">
      <c r="A29">
        <v>42.345046997070298</v>
      </c>
      <c r="B29" t="s">
        <v>45</v>
      </c>
      <c r="C29" t="s">
        <v>95</v>
      </c>
      <c r="D29" t="s">
        <v>95</v>
      </c>
      <c r="E29">
        <v>1</v>
      </c>
      <c r="F29">
        <v>1</v>
      </c>
      <c r="G29" t="s">
        <v>26</v>
      </c>
    </row>
    <row r="30" spans="1:7" x14ac:dyDescent="0.25">
      <c r="A30">
        <v>41.360378265380803</v>
      </c>
      <c r="B30" t="s">
        <v>46</v>
      </c>
      <c r="C30" t="s">
        <v>95</v>
      </c>
      <c r="D30" t="s">
        <v>95</v>
      </c>
      <c r="E30">
        <v>1</v>
      </c>
      <c r="F30">
        <v>1</v>
      </c>
      <c r="G30" t="s">
        <v>26</v>
      </c>
    </row>
    <row r="31" spans="1:7" x14ac:dyDescent="0.25">
      <c r="A31">
        <v>41.0678386688232</v>
      </c>
      <c r="B31" t="s">
        <v>47</v>
      </c>
      <c r="C31" t="s">
        <v>95</v>
      </c>
      <c r="D31" t="s">
        <v>95</v>
      </c>
      <c r="E31">
        <v>1</v>
      </c>
      <c r="F31">
        <v>1</v>
      </c>
      <c r="G31" t="s">
        <v>26</v>
      </c>
    </row>
    <row r="32" spans="1:7" x14ac:dyDescent="0.25">
      <c r="A32">
        <v>40.538549423217702</v>
      </c>
      <c r="B32" t="s">
        <v>48</v>
      </c>
      <c r="C32" t="s">
        <v>95</v>
      </c>
      <c r="D32" t="s">
        <v>95</v>
      </c>
      <c r="E32">
        <v>1</v>
      </c>
      <c r="F32">
        <v>1</v>
      </c>
      <c r="G32" t="s">
        <v>26</v>
      </c>
    </row>
    <row r="33" spans="1:7" x14ac:dyDescent="0.25">
      <c r="A33">
        <v>41.626930236816399</v>
      </c>
      <c r="B33" t="s">
        <v>50</v>
      </c>
      <c r="C33" t="s">
        <v>95</v>
      </c>
      <c r="D33" t="s">
        <v>95</v>
      </c>
      <c r="E33">
        <v>1</v>
      </c>
      <c r="F33">
        <v>1</v>
      </c>
      <c r="G33" t="s">
        <v>26</v>
      </c>
    </row>
    <row r="34" spans="1:7" x14ac:dyDescent="0.25">
      <c r="A34">
        <v>42.376041412353501</v>
      </c>
      <c r="B34" t="s">
        <v>51</v>
      </c>
      <c r="C34" t="s">
        <v>95</v>
      </c>
      <c r="D34" t="s">
        <v>95</v>
      </c>
      <c r="E34">
        <v>1</v>
      </c>
      <c r="F34">
        <v>1</v>
      </c>
      <c r="G34" t="s">
        <v>26</v>
      </c>
    </row>
    <row r="35" spans="1:7" x14ac:dyDescent="0.25">
      <c r="A35">
        <v>59.583187103271399</v>
      </c>
      <c r="B35" t="s">
        <v>52</v>
      </c>
      <c r="C35" t="s">
        <v>97</v>
      </c>
      <c r="D35" t="s">
        <v>97</v>
      </c>
      <c r="E35">
        <v>1</v>
      </c>
      <c r="F35">
        <v>1</v>
      </c>
      <c r="G35" t="s">
        <v>17</v>
      </c>
    </row>
    <row r="36" spans="1:7" x14ac:dyDescent="0.25">
      <c r="A36">
        <v>41.9180393218994</v>
      </c>
      <c r="B36" t="s">
        <v>53</v>
      </c>
      <c r="C36" t="s">
        <v>95</v>
      </c>
      <c r="D36" t="s">
        <v>95</v>
      </c>
      <c r="E36">
        <v>1</v>
      </c>
      <c r="F36">
        <v>1</v>
      </c>
      <c r="G36" t="s">
        <v>26</v>
      </c>
    </row>
    <row r="37" spans="1:7" x14ac:dyDescent="0.25">
      <c r="A37">
        <v>43.8995361328125</v>
      </c>
      <c r="B37" t="s">
        <v>54</v>
      </c>
      <c r="C37" t="s">
        <v>95</v>
      </c>
      <c r="D37" t="s">
        <v>95</v>
      </c>
      <c r="E37">
        <v>1</v>
      </c>
      <c r="F37">
        <v>1</v>
      </c>
      <c r="G37" t="s">
        <v>26</v>
      </c>
    </row>
    <row r="38" spans="1:7" x14ac:dyDescent="0.25">
      <c r="A38">
        <v>23.956298828125</v>
      </c>
      <c r="B38" t="s">
        <v>55</v>
      </c>
      <c r="C38" t="s">
        <v>98</v>
      </c>
      <c r="D38" t="s">
        <v>98</v>
      </c>
      <c r="E38">
        <v>1</v>
      </c>
      <c r="F38">
        <v>1</v>
      </c>
      <c r="G38" t="s">
        <v>16</v>
      </c>
    </row>
    <row r="39" spans="1:7" x14ac:dyDescent="0.25">
      <c r="A39">
        <v>42.336463928222599</v>
      </c>
      <c r="B39" t="s">
        <v>56</v>
      </c>
      <c r="C39" t="s">
        <v>95</v>
      </c>
      <c r="D39" t="s">
        <v>95</v>
      </c>
      <c r="E39">
        <v>1</v>
      </c>
      <c r="F39">
        <v>1</v>
      </c>
      <c r="G39" t="s">
        <v>26</v>
      </c>
    </row>
    <row r="40" spans="1:7" x14ac:dyDescent="0.25">
      <c r="A40">
        <v>42.317152023315401</v>
      </c>
      <c r="B40" t="s">
        <v>57</v>
      </c>
      <c r="C40" t="s">
        <v>95</v>
      </c>
      <c r="D40" t="s">
        <v>95</v>
      </c>
      <c r="E40">
        <v>1</v>
      </c>
      <c r="F40">
        <v>1</v>
      </c>
      <c r="G40" t="s">
        <v>26</v>
      </c>
    </row>
    <row r="41" spans="1:7" x14ac:dyDescent="0.25">
      <c r="A41">
        <v>44.983148574829102</v>
      </c>
      <c r="B41" t="s">
        <v>58</v>
      </c>
      <c r="C41" t="s">
        <v>95</v>
      </c>
      <c r="D41" t="s">
        <v>95</v>
      </c>
      <c r="E41">
        <v>1</v>
      </c>
      <c r="F41">
        <v>1</v>
      </c>
      <c r="G41" t="s">
        <v>26</v>
      </c>
    </row>
    <row r="42" spans="1:7" x14ac:dyDescent="0.25">
      <c r="A42">
        <v>45.147895812988203</v>
      </c>
      <c r="B42" t="s">
        <v>59</v>
      </c>
      <c r="C42" t="s">
        <v>95</v>
      </c>
      <c r="D42" t="s">
        <v>95</v>
      </c>
      <c r="E42">
        <v>1</v>
      </c>
      <c r="F42">
        <v>1</v>
      </c>
      <c r="G42" t="s">
        <v>26</v>
      </c>
    </row>
    <row r="43" spans="1:7" x14ac:dyDescent="0.25">
      <c r="A43">
        <v>41.655778884887603</v>
      </c>
      <c r="B43" t="s">
        <v>60</v>
      </c>
      <c r="C43" t="s">
        <v>95</v>
      </c>
      <c r="D43" t="s">
        <v>95</v>
      </c>
      <c r="E43">
        <v>1</v>
      </c>
      <c r="F43">
        <v>1</v>
      </c>
      <c r="G43" t="s">
        <v>26</v>
      </c>
    </row>
    <row r="44" spans="1:7" x14ac:dyDescent="0.25">
      <c r="A44">
        <v>47.395706176757798</v>
      </c>
      <c r="B44" t="s">
        <v>61</v>
      </c>
      <c r="C44" t="s">
        <v>95</v>
      </c>
      <c r="D44" t="s">
        <v>95</v>
      </c>
      <c r="E44">
        <v>1</v>
      </c>
      <c r="F44">
        <v>1</v>
      </c>
      <c r="G44" t="s">
        <v>26</v>
      </c>
    </row>
    <row r="45" spans="1:7" x14ac:dyDescent="0.25">
      <c r="A45">
        <v>42.989015579223597</v>
      </c>
      <c r="B45" t="s">
        <v>62</v>
      </c>
      <c r="C45" t="s">
        <v>95</v>
      </c>
      <c r="D45" t="s">
        <v>95</v>
      </c>
      <c r="E45">
        <v>1</v>
      </c>
      <c r="F45">
        <v>1</v>
      </c>
      <c r="G45" t="s">
        <v>26</v>
      </c>
    </row>
    <row r="46" spans="1:7" x14ac:dyDescent="0.25">
      <c r="A46">
        <v>41.008234024047802</v>
      </c>
      <c r="B46" t="s">
        <v>63</v>
      </c>
      <c r="C46" t="s">
        <v>95</v>
      </c>
      <c r="D46" t="s">
        <v>95</v>
      </c>
      <c r="E46">
        <v>1</v>
      </c>
      <c r="F46">
        <v>1</v>
      </c>
      <c r="G46" t="s">
        <v>26</v>
      </c>
    </row>
    <row r="47" spans="1:7" x14ac:dyDescent="0.25">
      <c r="A47">
        <v>43.839693069458001</v>
      </c>
      <c r="B47" t="s">
        <v>64</v>
      </c>
      <c r="C47" t="s">
        <v>95</v>
      </c>
      <c r="D47" t="s">
        <v>95</v>
      </c>
      <c r="E47">
        <v>1</v>
      </c>
      <c r="F47">
        <v>1</v>
      </c>
      <c r="G47" t="s">
        <v>26</v>
      </c>
    </row>
    <row r="48" spans="1:7" x14ac:dyDescent="0.25">
      <c r="A48">
        <v>42.940616607666001</v>
      </c>
      <c r="B48" t="s">
        <v>65</v>
      </c>
      <c r="C48" t="s">
        <v>95</v>
      </c>
      <c r="D48" t="s">
        <v>95</v>
      </c>
      <c r="E48">
        <v>1</v>
      </c>
      <c r="F48">
        <v>1</v>
      </c>
      <c r="G48" t="s">
        <v>26</v>
      </c>
    </row>
    <row r="49" spans="1:7" x14ac:dyDescent="0.25">
      <c r="A49">
        <v>41.5420532226562</v>
      </c>
      <c r="B49" t="s">
        <v>66</v>
      </c>
      <c r="C49" t="s">
        <v>95</v>
      </c>
      <c r="D49" t="s">
        <v>95</v>
      </c>
      <c r="E49">
        <v>1</v>
      </c>
      <c r="F49">
        <v>1</v>
      </c>
      <c r="G49" t="s">
        <v>26</v>
      </c>
    </row>
    <row r="50" spans="1:7" x14ac:dyDescent="0.25">
      <c r="A50">
        <v>43.038845062255803</v>
      </c>
      <c r="B50" t="s">
        <v>67</v>
      </c>
      <c r="C50" t="s">
        <v>95</v>
      </c>
      <c r="D50" t="s">
        <v>95</v>
      </c>
      <c r="E50">
        <v>1</v>
      </c>
      <c r="F50">
        <v>1</v>
      </c>
      <c r="G50" t="s">
        <v>26</v>
      </c>
    </row>
    <row r="51" spans="1:7" x14ac:dyDescent="0.25">
      <c r="A51">
        <v>41.786432266235302</v>
      </c>
      <c r="B51" t="s">
        <v>68</v>
      </c>
      <c r="C51" t="s">
        <v>95</v>
      </c>
      <c r="D51" t="s">
        <v>95</v>
      </c>
      <c r="E51">
        <v>1</v>
      </c>
      <c r="F51">
        <v>1</v>
      </c>
      <c r="G51" t="s">
        <v>26</v>
      </c>
    </row>
    <row r="52" spans="1:7" x14ac:dyDescent="0.25">
      <c r="A52">
        <v>40.963172912597599</v>
      </c>
      <c r="B52" t="s">
        <v>69</v>
      </c>
      <c r="C52" t="s">
        <v>95</v>
      </c>
      <c r="D52" t="s">
        <v>95</v>
      </c>
      <c r="E52">
        <v>1</v>
      </c>
      <c r="F52">
        <v>1</v>
      </c>
      <c r="G52" t="s">
        <v>26</v>
      </c>
    </row>
    <row r="53" spans="1:7" x14ac:dyDescent="0.25">
      <c r="A53">
        <v>45.009374618530202</v>
      </c>
      <c r="B53" t="s">
        <v>70</v>
      </c>
      <c r="C53" t="s">
        <v>95</v>
      </c>
      <c r="D53" t="s">
        <v>95</v>
      </c>
      <c r="E53">
        <v>1</v>
      </c>
      <c r="F53">
        <v>1</v>
      </c>
      <c r="G53" t="s">
        <v>26</v>
      </c>
    </row>
    <row r="54" spans="1:7" x14ac:dyDescent="0.25">
      <c r="A54">
        <v>41.325330734252901</v>
      </c>
      <c r="B54" t="s">
        <v>71</v>
      </c>
      <c r="C54" t="s">
        <v>95</v>
      </c>
      <c r="D54" t="s">
        <v>95</v>
      </c>
      <c r="E54">
        <v>1</v>
      </c>
      <c r="F54">
        <v>1</v>
      </c>
      <c r="G54" t="s">
        <v>26</v>
      </c>
    </row>
    <row r="55" spans="1:7" x14ac:dyDescent="0.25">
      <c r="A55">
        <v>41.571617126464801</v>
      </c>
      <c r="B55" t="s">
        <v>72</v>
      </c>
      <c r="C55" t="s">
        <v>95</v>
      </c>
      <c r="D55" t="s">
        <v>95</v>
      </c>
      <c r="E55">
        <v>1</v>
      </c>
      <c r="F55">
        <v>1</v>
      </c>
      <c r="G55" t="s">
        <v>26</v>
      </c>
    </row>
    <row r="56" spans="1:7" x14ac:dyDescent="0.25">
      <c r="A56">
        <v>24.060487747192301</v>
      </c>
      <c r="B56" t="s">
        <v>73</v>
      </c>
      <c r="C56" t="s">
        <v>99</v>
      </c>
      <c r="D56" t="s">
        <v>98</v>
      </c>
      <c r="E56">
        <v>0</v>
      </c>
      <c r="F56">
        <v>0</v>
      </c>
      <c r="G56" t="s">
        <v>16</v>
      </c>
    </row>
    <row r="57" spans="1:7" x14ac:dyDescent="0.25">
      <c r="A57">
        <v>45.303583145141602</v>
      </c>
      <c r="B57" t="s">
        <v>74</v>
      </c>
      <c r="C57" t="s">
        <v>95</v>
      </c>
      <c r="D57" t="s">
        <v>95</v>
      </c>
      <c r="E57">
        <v>1</v>
      </c>
      <c r="F57">
        <v>1</v>
      </c>
      <c r="G57" t="s">
        <v>26</v>
      </c>
    </row>
    <row r="58" spans="1:7" x14ac:dyDescent="0.25">
      <c r="A58">
        <v>42.541265487670898</v>
      </c>
      <c r="B58" t="s">
        <v>75</v>
      </c>
      <c r="C58" t="s">
        <v>95</v>
      </c>
      <c r="D58" t="s">
        <v>95</v>
      </c>
      <c r="E58">
        <v>1</v>
      </c>
      <c r="F58">
        <v>1</v>
      </c>
      <c r="G58" t="s">
        <v>26</v>
      </c>
    </row>
    <row r="59" spans="1:7" x14ac:dyDescent="0.25">
      <c r="A59">
        <v>42.584419250488203</v>
      </c>
      <c r="B59" t="s">
        <v>76</v>
      </c>
      <c r="C59" t="s">
        <v>95</v>
      </c>
      <c r="D59" t="s">
        <v>95</v>
      </c>
      <c r="E59">
        <v>1</v>
      </c>
      <c r="F59">
        <v>1</v>
      </c>
      <c r="G59" t="s">
        <v>26</v>
      </c>
    </row>
    <row r="60" spans="1:7" x14ac:dyDescent="0.25">
      <c r="A60">
        <v>40.992975234985302</v>
      </c>
      <c r="B60" t="s">
        <v>77</v>
      </c>
      <c r="C60" t="s">
        <v>95</v>
      </c>
      <c r="D60" t="s">
        <v>95</v>
      </c>
      <c r="E60">
        <v>1</v>
      </c>
      <c r="F60">
        <v>1</v>
      </c>
      <c r="G60" t="s">
        <v>26</v>
      </c>
    </row>
    <row r="61" spans="1:7" x14ac:dyDescent="0.25">
      <c r="A61">
        <v>45.626878738403299</v>
      </c>
      <c r="B61" t="s">
        <v>78</v>
      </c>
      <c r="C61" t="s">
        <v>95</v>
      </c>
      <c r="D61" t="s">
        <v>95</v>
      </c>
      <c r="E61">
        <v>1</v>
      </c>
      <c r="F61">
        <v>1</v>
      </c>
      <c r="G61" t="s">
        <v>26</v>
      </c>
    </row>
    <row r="62" spans="1:7" x14ac:dyDescent="0.25">
      <c r="A62">
        <v>43.732404708862298</v>
      </c>
      <c r="B62" t="s">
        <v>79</v>
      </c>
      <c r="C62" t="s">
        <v>95</v>
      </c>
      <c r="D62" t="s">
        <v>95</v>
      </c>
      <c r="E62">
        <v>1</v>
      </c>
      <c r="F62">
        <v>1</v>
      </c>
      <c r="G62" t="s">
        <v>26</v>
      </c>
    </row>
    <row r="63" spans="1:7" x14ac:dyDescent="0.25">
      <c r="A63">
        <v>41.896581649780202</v>
      </c>
      <c r="B63" t="s">
        <v>80</v>
      </c>
      <c r="C63" t="s">
        <v>95</v>
      </c>
      <c r="D63" t="s">
        <v>95</v>
      </c>
      <c r="E63">
        <v>1</v>
      </c>
      <c r="F63">
        <v>1</v>
      </c>
      <c r="G63" t="s">
        <v>26</v>
      </c>
    </row>
    <row r="64" spans="1:7" x14ac:dyDescent="0.25">
      <c r="A64">
        <v>41.471719741821197</v>
      </c>
      <c r="B64" t="s">
        <v>81</v>
      </c>
      <c r="C64" t="s">
        <v>95</v>
      </c>
      <c r="D64" t="s">
        <v>95</v>
      </c>
      <c r="E64">
        <v>1</v>
      </c>
      <c r="F64">
        <v>1</v>
      </c>
      <c r="G64" t="s">
        <v>26</v>
      </c>
    </row>
    <row r="65" spans="1:7" x14ac:dyDescent="0.25">
      <c r="A65">
        <v>40.651082992553697</v>
      </c>
      <c r="B65" t="s">
        <v>82</v>
      </c>
      <c r="C65" t="s">
        <v>95</v>
      </c>
      <c r="D65" t="s">
        <v>95</v>
      </c>
      <c r="E65">
        <v>1</v>
      </c>
      <c r="F65">
        <v>1</v>
      </c>
      <c r="G65" t="s">
        <v>26</v>
      </c>
    </row>
    <row r="66" spans="1:7" x14ac:dyDescent="0.25">
      <c r="A66">
        <v>43.130874633788999</v>
      </c>
      <c r="B66" t="s">
        <v>83</v>
      </c>
      <c r="C66" t="s">
        <v>95</v>
      </c>
      <c r="D66" t="s">
        <v>95</v>
      </c>
      <c r="E66">
        <v>1</v>
      </c>
      <c r="F66">
        <v>1</v>
      </c>
      <c r="G66" t="s">
        <v>26</v>
      </c>
    </row>
    <row r="67" spans="1:7" x14ac:dyDescent="0.25">
      <c r="A67">
        <v>41.5637493133544</v>
      </c>
      <c r="B67" t="s">
        <v>84</v>
      </c>
      <c r="C67" t="s">
        <v>95</v>
      </c>
      <c r="D67" t="s">
        <v>95</v>
      </c>
      <c r="E67">
        <v>1</v>
      </c>
      <c r="F67">
        <v>1</v>
      </c>
      <c r="G67" t="s">
        <v>26</v>
      </c>
    </row>
    <row r="68" spans="1:7" x14ac:dyDescent="0.25">
      <c r="A68">
        <v>45.479774475097599</v>
      </c>
      <c r="B68" t="s">
        <v>85</v>
      </c>
      <c r="C68" t="s">
        <v>95</v>
      </c>
      <c r="D68" t="s">
        <v>95</v>
      </c>
      <c r="E68">
        <v>1</v>
      </c>
      <c r="F68">
        <v>1</v>
      </c>
      <c r="G68" t="s">
        <v>26</v>
      </c>
    </row>
    <row r="69" spans="1:7" x14ac:dyDescent="0.25">
      <c r="A69">
        <v>42.671918869018498</v>
      </c>
      <c r="B69" t="s">
        <v>86</v>
      </c>
      <c r="C69" t="s">
        <v>95</v>
      </c>
      <c r="D69" t="s">
        <v>95</v>
      </c>
      <c r="E69">
        <v>1</v>
      </c>
      <c r="F69">
        <v>1</v>
      </c>
      <c r="G69" t="s">
        <v>26</v>
      </c>
    </row>
    <row r="70" spans="1:7" x14ac:dyDescent="0.25">
      <c r="A70">
        <v>42.227983474731403</v>
      </c>
      <c r="B70" t="s">
        <v>87</v>
      </c>
      <c r="C70" t="s">
        <v>95</v>
      </c>
      <c r="D70" t="s">
        <v>95</v>
      </c>
      <c r="E70">
        <v>1</v>
      </c>
      <c r="F70">
        <v>1</v>
      </c>
      <c r="G70" t="s">
        <v>26</v>
      </c>
    </row>
    <row r="71" spans="1:7" x14ac:dyDescent="0.25">
      <c r="A71">
        <v>41.279792785644503</v>
      </c>
      <c r="B71" t="s">
        <v>88</v>
      </c>
      <c r="C71" t="s">
        <v>100</v>
      </c>
      <c r="D71" t="s">
        <v>95</v>
      </c>
      <c r="E71">
        <v>0.5</v>
      </c>
      <c r="F71">
        <v>0.33333333333333298</v>
      </c>
      <c r="G71" t="s">
        <v>26</v>
      </c>
    </row>
    <row r="72" spans="1:7" x14ac:dyDescent="0.25">
      <c r="A72">
        <v>41.924715042114201</v>
      </c>
      <c r="B72" t="s">
        <v>89</v>
      </c>
      <c r="C72" t="s">
        <v>95</v>
      </c>
      <c r="D72" t="s">
        <v>95</v>
      </c>
      <c r="E72">
        <v>1</v>
      </c>
      <c r="F72">
        <v>1</v>
      </c>
      <c r="G72" t="s">
        <v>26</v>
      </c>
    </row>
    <row r="73" spans="1:7" x14ac:dyDescent="0.25">
      <c r="A73">
        <v>41.327476501464801</v>
      </c>
      <c r="B73" t="s">
        <v>90</v>
      </c>
      <c r="C73" t="s">
        <v>95</v>
      </c>
      <c r="D73" t="s">
        <v>95</v>
      </c>
      <c r="E73">
        <v>1</v>
      </c>
      <c r="F73">
        <v>1</v>
      </c>
      <c r="G73" t="s">
        <v>26</v>
      </c>
    </row>
    <row r="74" spans="1:7" x14ac:dyDescent="0.25">
      <c r="A74">
        <v>47.694921493530202</v>
      </c>
      <c r="B74" t="s">
        <v>91</v>
      </c>
      <c r="C74" t="s">
        <v>95</v>
      </c>
      <c r="D74" t="s">
        <v>95</v>
      </c>
      <c r="E74">
        <v>1</v>
      </c>
      <c r="F74">
        <v>1</v>
      </c>
      <c r="G74" t="s">
        <v>26</v>
      </c>
    </row>
    <row r="75" spans="1:7" x14ac:dyDescent="0.25">
      <c r="A75">
        <v>41.740655899047802</v>
      </c>
      <c r="B75" t="s">
        <v>92</v>
      </c>
      <c r="C75" t="s">
        <v>95</v>
      </c>
      <c r="D75" t="s">
        <v>95</v>
      </c>
      <c r="E75">
        <v>1</v>
      </c>
      <c r="F75">
        <v>1</v>
      </c>
      <c r="G75" t="s">
        <v>26</v>
      </c>
    </row>
    <row r="76" spans="1:7" x14ac:dyDescent="0.25">
      <c r="A76">
        <v>41.0864353179931</v>
      </c>
      <c r="B76" t="s">
        <v>93</v>
      </c>
      <c r="C76" t="s">
        <v>95</v>
      </c>
      <c r="D76" t="s">
        <v>95</v>
      </c>
      <c r="E76">
        <v>1</v>
      </c>
      <c r="F76">
        <v>1</v>
      </c>
      <c r="G76" t="s">
        <v>26</v>
      </c>
    </row>
    <row r="77" spans="1:7" x14ac:dyDescent="0.25">
      <c r="A77">
        <v>41.4721965789794</v>
      </c>
      <c r="B77" t="s">
        <v>94</v>
      </c>
      <c r="C77" t="s">
        <v>95</v>
      </c>
      <c r="D77" t="s">
        <v>95</v>
      </c>
      <c r="E77">
        <v>1</v>
      </c>
      <c r="F77">
        <v>1</v>
      </c>
      <c r="G77" t="s">
        <v>26</v>
      </c>
    </row>
    <row r="78" spans="1:7" x14ac:dyDescent="0.25">
      <c r="A78">
        <f>AVERAGE(A4:A77)</f>
        <v>42.266587953309745</v>
      </c>
      <c r="E78">
        <f>SUBTOTAL(101,detection_results3__2[Column5])</f>
        <v>0.97333333333333338</v>
      </c>
      <c r="F78">
        <f>SUBTOTAL(101,detection_results3__2[Column6])</f>
        <v>0.9688888888888888</v>
      </c>
    </row>
    <row r="81" spans="1:1" ht="15.75" thickBot="1" x14ac:dyDescent="0.3"/>
    <row r="82" spans="1:1" ht="15.75" thickTop="1" x14ac:dyDescent="0.25">
      <c r="A8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070D-0FCC-429F-8615-82C77B448A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241F4-D8AA-4A9C-8CAE-A94FE395F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detection_results1</vt:lpstr>
      <vt:lpstr>detection_results8</vt:lpstr>
      <vt:lpstr>detection_results4 </vt:lpstr>
      <vt:lpstr>detection_results3</vt:lpstr>
      <vt:lpstr>detection_results2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2025-10-14T12:16:05Z</dcterms:created>
  <dcterms:modified xsi:type="dcterms:W3CDTF">2025-11-12T21:50:06Z</dcterms:modified>
</cp:coreProperties>
</file>