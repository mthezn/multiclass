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992134_polimi_it/Documents/Documenti/POLIMI/Tesi/multiclass/results_classification/"/>
    </mc:Choice>
  </mc:AlternateContent>
  <xr:revisionPtr revIDLastSave="0" documentId="8_{E63B6CEB-0DD7-4FB0-86DD-EACB7C81C43D}" xr6:coauthVersionLast="47" xr6:coauthVersionMax="47" xr10:uidLastSave="{00000000-0000-0000-0000-000000000000}"/>
  <bookViews>
    <workbookView xWindow="-120" yWindow="-120" windowWidth="29040" windowHeight="15720" activeTab="3" xr2:uid="{492B33BB-F5E6-44B7-8DBC-C9D543DDE113}"/>
  </bookViews>
  <sheets>
    <sheet name="detection_results3 (4)" sheetId="5" r:id="rId1"/>
    <sheet name="detection_results3 " sheetId="4" r:id="rId2"/>
    <sheet name="detection_results2" sheetId="3" r:id="rId3"/>
    <sheet name="detection_results8" sheetId="6" r:id="rId4"/>
    <sheet name="detection_results1" sheetId="2" r:id="rId5"/>
    <sheet name="Foglio1" sheetId="1" r:id="rId6"/>
  </sheets>
  <definedNames>
    <definedName name="DatiEsterni_1" localSheetId="4" hidden="1">detection_results1!$A$1:$G$81</definedName>
    <definedName name="DatiEsterni_2" localSheetId="2" hidden="1">detection_results2!$A$1:$G$79</definedName>
    <definedName name="DatiEsterni_2" localSheetId="3" hidden="1">detection_results8!$A$1:$G$77</definedName>
    <definedName name="DatiEsterni_3" localSheetId="1" hidden="1">'detection_results3 '!$A$1:$G$77</definedName>
    <definedName name="DatiEsterni_4" localSheetId="0" hidden="1">'detection_results3 (4)'!$A$1:$G$79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8" i="6" l="1"/>
  <c r="E78" i="6"/>
  <c r="A78" i="6"/>
  <c r="F80" i="5"/>
  <c r="E80" i="5"/>
  <c r="A80" i="5"/>
  <c r="F78" i="4"/>
  <c r="E78" i="4"/>
  <c r="A78" i="4"/>
  <c r="F80" i="3"/>
  <c r="E80" i="3"/>
  <c r="A80" i="3"/>
  <c r="F82" i="2"/>
  <c r="E82" i="2"/>
  <c r="A8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BB6562-1974-4EAD-B7D2-16BE84A84DA8}" keepAlive="1" name="Query - detection_results3" description="Connessione alla query 'detection_results3' nella cartella di lavoro." type="5" refreshedVersion="8" background="1" saveData="1">
    <dbPr connection="Provider=Microsoft.Mashup.OleDb.1;Data Source=$Workbook$;Location=detection_results3;Extended Properties=&quot;&quot;" command="SELECT * FROM [detection_results3]"/>
  </connection>
  <connection id="2" xr16:uid="{0BC1D82D-B2F0-4B7D-A652-FFB5516C76B1}" keepAlive="1" name="Query - detection_results3 (2)" description="Connessione alla query 'detection_results3 (2)' nella cartella di lavoro." type="5" refreshedVersion="8" background="1" saveData="1">
    <dbPr connection="Provider=Microsoft.Mashup.OleDb.1;Data Source=$Workbook$;Location=&quot;detection_results3 (2)&quot;;Extended Properties=&quot;&quot;" command="SELECT * FROM [detection_results3 (2)]"/>
  </connection>
  <connection id="3" xr16:uid="{E52394CC-CD0C-45BE-B483-B51443534A13}" keepAlive="1" name="Query - detection_results3 (3)" description="Connessione alla query 'detection_results3 (3)' nella cartella di lavoro." type="5" refreshedVersion="8" background="1" saveData="1">
    <dbPr connection="Provider=Microsoft.Mashup.OleDb.1;Data Source=$Workbook$;Location=&quot;detection_results3 (3)&quot;;Extended Properties=&quot;&quot;" command="SELECT * FROM [detection_results3 (3)]"/>
  </connection>
  <connection id="4" xr16:uid="{F9D38EDE-7E04-4831-B37A-AC305A5E7B20}" keepAlive="1" name="Query - detection_results3 (4)" description="Connessione alla query 'detection_results3 (4)' nella cartella di lavoro." type="5" refreshedVersion="8" background="1" saveData="1">
    <dbPr connection="Provider=Microsoft.Mashup.OleDb.1;Data Source=$Workbook$;Location=&quot;detection_results3 (4)&quot;;Extended Properties=&quot;&quot;" command="SELECT * FROM [detection_results3 (4)]"/>
  </connection>
  <connection id="5" xr16:uid="{60507C6D-D835-4BB9-B8EA-1C934FF8CC9B}" keepAlive="1" name="Query - detection_results3 (5)" description="Connessione alla query 'detection_results3 (5)' nella cartella di lavoro." type="5" refreshedVersion="8" background="1" saveData="1">
    <dbPr connection="Provider=Microsoft.Mashup.OleDb.1;Data Source=$Workbook$;Location=&quot;detection_results3 (5)&quot;;Extended Properties=&quot;&quot;" command="SELECT * FROM [detection_results3 (5)]"/>
  </connection>
</connections>
</file>

<file path=xl/sharedStrings.xml><?xml version="1.0" encoding="utf-8"?>
<sst xmlns="http://schemas.openxmlformats.org/spreadsheetml/2006/main" count="1495" uniqueCount="116">
  <si>
    <t>Column1</t>
  </si>
  <si>
    <t>Column2</t>
  </si>
  <si>
    <t>Column3</t>
  </si>
  <si>
    <t>Column4</t>
  </si>
  <si>
    <t>Column5</t>
  </si>
  <si>
    <t>Column6</t>
  </si>
  <si>
    <t>Column7</t>
  </si>
  <si>
    <t>time</t>
  </si>
  <si>
    <t>index</t>
  </si>
  <si>
    <t>pred</t>
  </si>
  <si>
    <t>label</t>
  </si>
  <si>
    <t>acc</t>
  </si>
  <si>
    <t>f1</t>
  </si>
  <si>
    <t>num_instruments</t>
  </si>
  <si>
    <t>0_0</t>
  </si>
  <si>
    <t>[2]</t>
  </si>
  <si>
    <t>1.0</t>
  </si>
  <si>
    <t>0_1</t>
  </si>
  <si>
    <t>[2, 2]</t>
  </si>
  <si>
    <t>2.0</t>
  </si>
  <si>
    <t>1_0</t>
  </si>
  <si>
    <t>1_1</t>
  </si>
  <si>
    <t>[2, 6, 2]</t>
  </si>
  <si>
    <t>[2, 2, 2]</t>
  </si>
  <si>
    <t>3.0</t>
  </si>
  <si>
    <t>2_0</t>
  </si>
  <si>
    <t>2_1</t>
  </si>
  <si>
    <t>3_0</t>
  </si>
  <si>
    <t>3_1</t>
  </si>
  <si>
    <t>[2, 5]</t>
  </si>
  <si>
    <t>4_0</t>
  </si>
  <si>
    <t>4_1</t>
  </si>
  <si>
    <t>5_0</t>
  </si>
  <si>
    <t>5_1</t>
  </si>
  <si>
    <t>6_0</t>
  </si>
  <si>
    <t>6_1</t>
  </si>
  <si>
    <t>7_0</t>
  </si>
  <si>
    <t>7_1</t>
  </si>
  <si>
    <t>8_0</t>
  </si>
  <si>
    <t>8_1</t>
  </si>
  <si>
    <t>9_0</t>
  </si>
  <si>
    <t>9_1</t>
  </si>
  <si>
    <t>10_0</t>
  </si>
  <si>
    <t>10_1</t>
  </si>
  <si>
    <t>11_0</t>
  </si>
  <si>
    <t>11_1</t>
  </si>
  <si>
    <t>[3, 5]</t>
  </si>
  <si>
    <t>12_0</t>
  </si>
  <si>
    <t>12_1</t>
  </si>
  <si>
    <t>13_0</t>
  </si>
  <si>
    <t>13_1</t>
  </si>
  <si>
    <t>14_0</t>
  </si>
  <si>
    <t>14_1</t>
  </si>
  <si>
    <t>15_0</t>
  </si>
  <si>
    <t>15_1</t>
  </si>
  <si>
    <t>16_0</t>
  </si>
  <si>
    <t>16_1</t>
  </si>
  <si>
    <t>17_0</t>
  </si>
  <si>
    <t>17_1</t>
  </si>
  <si>
    <t>18_0</t>
  </si>
  <si>
    <t>18_1</t>
  </si>
  <si>
    <t>19_0</t>
  </si>
  <si>
    <t>19_1</t>
  </si>
  <si>
    <t>20_0</t>
  </si>
  <si>
    <t>20_1</t>
  </si>
  <si>
    <t>21_0</t>
  </si>
  <si>
    <t>21_1</t>
  </si>
  <si>
    <t>22_0</t>
  </si>
  <si>
    <t>22_1</t>
  </si>
  <si>
    <t>23_0</t>
  </si>
  <si>
    <t>23_1</t>
  </si>
  <si>
    <t>24_0</t>
  </si>
  <si>
    <t>24_1</t>
  </si>
  <si>
    <t>25_0</t>
  </si>
  <si>
    <t>25_1</t>
  </si>
  <si>
    <t>26_0</t>
  </si>
  <si>
    <t>26_1</t>
  </si>
  <si>
    <t>27_0</t>
  </si>
  <si>
    <t>27_1</t>
  </si>
  <si>
    <t>28_0</t>
  </si>
  <si>
    <t>28_1</t>
  </si>
  <si>
    <t>29_0</t>
  </si>
  <si>
    <t>29_1</t>
  </si>
  <si>
    <t>30_0</t>
  </si>
  <si>
    <t>30_1</t>
  </si>
  <si>
    <t>31_0</t>
  </si>
  <si>
    <t>31_1</t>
  </si>
  <si>
    <t>32_0</t>
  </si>
  <si>
    <t>32_1</t>
  </si>
  <si>
    <t>33_0</t>
  </si>
  <si>
    <t>33_1</t>
  </si>
  <si>
    <t>[2, 3]</t>
  </si>
  <si>
    <t>34_0</t>
  </si>
  <si>
    <t>34_1</t>
  </si>
  <si>
    <t>35_0</t>
  </si>
  <si>
    <t>35_1</t>
  </si>
  <si>
    <t>36_0</t>
  </si>
  <si>
    <t>36_1</t>
  </si>
  <si>
    <t>37_0</t>
  </si>
  <si>
    <t>[2, 1]</t>
  </si>
  <si>
    <t>[1, 1]</t>
  </si>
  <si>
    <t>[1, 2]</t>
  </si>
  <si>
    <t>[1, 3]</t>
  </si>
  <si>
    <t>[1, 8]</t>
  </si>
  <si>
    <t>[3, 1]</t>
  </si>
  <si>
    <t>[1]</t>
  </si>
  <si>
    <t>[1, 1, 2]</t>
  </si>
  <si>
    <t>[1, 2, 2]</t>
  </si>
  <si>
    <t>[5, 6]</t>
  </si>
  <si>
    <t>[6]</t>
  </si>
  <si>
    <t>[5]</t>
  </si>
  <si>
    <t>[6, 5]</t>
  </si>
  <si>
    <t>[6, 1]</t>
  </si>
  <si>
    <t>[2, 6]</t>
  </si>
  <si>
    <t>[6, 4]</t>
  </si>
  <si>
    <t>[6, 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</si>
</sst>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7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4" xr16:uid="{FB43F49D-79BC-484E-9155-5F1604E52FA1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3" xr16:uid="{E5CF0688-ED0D-4A53-8605-D5C98202B0F5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6333F041-FCCC-4FAE-A6C0-72BED8B9DA78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5" xr16:uid="{F20FE5C7-B01B-41C1-887A-FA263FD9EE8C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4B5D60B9-7597-4E24-B875-16EE85A9A7A1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6633D3-8EE1-46F5-B321-5ED6CFF049E5}" name="detection_results3__4" displayName="detection_results3__4" ref="A1:G80" tableType="queryTable" totalsRowCount="1">
  <autoFilter ref="A1:G79" xr:uid="{646633D3-8EE1-46F5-B321-5ED6CFF049E5}"/>
  <tableColumns count="7">
    <tableColumn id="1" xr3:uid="{9A8DF9F6-8EAF-43E9-9A29-74D551956C93}" uniqueName="1" name="Column1" totalsRowFunction="custom" queryTableFieldId="1" dataDxfId="27" totalsRowDxfId="20">
      <totalsRowFormula>AVERAGE(A4:A77)</totalsRowFormula>
    </tableColumn>
    <tableColumn id="2" xr3:uid="{96497669-B1A1-4E13-B795-DDF4861F6E06}" uniqueName="2" name="Column2" queryTableFieldId="2" dataDxfId="26" totalsRowDxfId="19"/>
    <tableColumn id="3" xr3:uid="{80EB09E9-D95C-4744-AD9D-AED833A5A5C8}" uniqueName="3" name="Column3" queryTableFieldId="3" dataDxfId="25" totalsRowDxfId="18"/>
    <tableColumn id="4" xr3:uid="{5C4CC609-70BE-47BC-8EF4-39D25580880F}" uniqueName="4" name="Column4" queryTableFieldId="4" dataDxfId="24" totalsRowDxfId="17"/>
    <tableColumn id="5" xr3:uid="{51DD8AC4-DA73-4DE8-B412-163FC955E9DF}" uniqueName="5" name="Column5" totalsRowFunction="average" queryTableFieldId="5" dataDxfId="23" totalsRowDxfId="15"/>
    <tableColumn id="6" xr3:uid="{96CF2EC2-F321-4E85-A7A9-48195F861FCE}" uniqueName="6" name="Column6" totalsRowFunction="average" queryTableFieldId="6" dataDxfId="22" totalsRowDxfId="14"/>
    <tableColumn id="7" xr3:uid="{C294781E-D111-483C-B50C-3490C523CC6C}" uniqueName="7" name="Column7" queryTableFieldId="7" dataDxfId="21" totalsRow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73B843-4668-4987-8654-1A78E71DD0B1}" name="detection_results3__3" displayName="detection_results3__3" ref="A1:G78" tableType="queryTable" totalsRowCount="1">
  <autoFilter ref="A1:G77" xr:uid="{2F73B843-4668-4987-8654-1A78E71DD0B1}"/>
  <tableColumns count="7">
    <tableColumn id="1" xr3:uid="{96382147-38F3-4BD3-8AF5-5B50046CA9F0}" uniqueName="1" name="Column1" totalsRowFunction="custom" queryTableFieldId="1" dataDxfId="41" totalsRowDxfId="34">
      <totalsRowFormula>AVERAGE(A4:A77)</totalsRowFormula>
    </tableColumn>
    <tableColumn id="2" xr3:uid="{F0F5FC6E-24CF-435E-A867-A11F201B4B17}" uniqueName="2" name="Column2" queryTableFieldId="2" dataDxfId="40" totalsRowDxfId="33"/>
    <tableColumn id="3" xr3:uid="{5C549C33-134B-48F3-90E1-AA0A1F408BCC}" uniqueName="3" name="Column3" queryTableFieldId="3" dataDxfId="39" totalsRowDxfId="32"/>
    <tableColumn id="4" xr3:uid="{30745171-5D74-45D2-9212-6A2082D88E76}" uniqueName="4" name="Column4" queryTableFieldId="4" dataDxfId="38" totalsRowDxfId="31"/>
    <tableColumn id="5" xr3:uid="{5E2785AF-96CE-439D-ADC2-35D7B92BE1C3}" uniqueName="5" name="Column5" totalsRowFunction="average" queryTableFieldId="5" dataDxfId="37" totalsRowDxfId="29"/>
    <tableColumn id="6" xr3:uid="{28315D1C-3824-446B-8E67-B074231943B6}" uniqueName="6" name="Column6" totalsRowFunction="average" queryTableFieldId="6" dataDxfId="36" totalsRowDxfId="28"/>
    <tableColumn id="7" xr3:uid="{5D6C938D-EAC1-4D99-B89D-CE54F7B40DA0}" uniqueName="7" name="Column7" queryTableFieldId="7" dataDxfId="35" totalsRow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FE27A0-6504-4590-BC1F-794455285ACF}" name="detection_results3__2" displayName="detection_results3__2" ref="A1:G80" tableType="queryTable" totalsRowCount="1">
  <autoFilter ref="A1:G79" xr:uid="{05FE27A0-6504-4590-BC1F-794455285ACF}"/>
  <tableColumns count="7">
    <tableColumn id="1" xr3:uid="{312551DC-0EAE-42F2-BA15-F1523C4C3816}" uniqueName="1" name="Column1" totalsRowFunction="custom" queryTableFieldId="1" dataDxfId="55" totalsRowDxfId="48">
      <totalsRowFormula>AVERAGE(A4:A77)</totalsRowFormula>
    </tableColumn>
    <tableColumn id="2" xr3:uid="{E99F7EF8-EA96-40B5-AEA9-FE3970C58324}" uniqueName="2" name="Column2" queryTableFieldId="2" dataDxfId="54" totalsRowDxfId="47"/>
    <tableColumn id="3" xr3:uid="{E76C046C-D1CD-4257-9D8E-444ADE0F3867}" uniqueName="3" name="Column3" queryTableFieldId="3" dataDxfId="53" totalsRowDxfId="46"/>
    <tableColumn id="4" xr3:uid="{2EB51681-1150-46DB-81A2-4B5322E8B0E0}" uniqueName="4" name="Column4" queryTableFieldId="4" dataDxfId="52" totalsRowDxfId="45"/>
    <tableColumn id="5" xr3:uid="{34E6FCA0-BAE6-4E9B-9E81-F9279B480B62}" uniqueName="5" name="Column5" totalsRowFunction="average" queryTableFieldId="5" dataDxfId="51" totalsRowDxfId="43"/>
    <tableColumn id="6" xr3:uid="{08347471-117C-427F-97B6-195CF6100E21}" uniqueName="6" name="Column6" totalsRowFunction="average" queryTableFieldId="6" dataDxfId="50" totalsRowDxfId="42"/>
    <tableColumn id="7" xr3:uid="{82671C6B-A623-4E7D-8F98-72BF8DFB6C11}" uniqueName="7" name="Column7" queryTableFieldId="7" dataDxfId="49" totalsRowDxfId="4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F0B333-493B-4EC2-96D0-7102B19511A3}" name="detection_results3__5" displayName="detection_results3__5" ref="A1:G78" tableType="queryTable" totalsRowCount="1">
  <autoFilter ref="A1:G77" xr:uid="{AFF0B333-493B-4EC2-96D0-7102B19511A3}"/>
  <tableColumns count="7">
    <tableColumn id="1" xr3:uid="{3E6FE4F6-D1D7-4FB7-AD88-EB564E132720}" uniqueName="1" name="Column1" totalsRowFunction="custom" queryTableFieldId="1" dataDxfId="13" totalsRowDxfId="6">
      <totalsRowFormula>AVERAGE(A4:A77)</totalsRowFormula>
    </tableColumn>
    <tableColumn id="2" xr3:uid="{66A9EDD7-37D2-4F73-8E39-C79FE6CCC07F}" uniqueName="2" name="Column2" queryTableFieldId="2" dataDxfId="12" totalsRowDxfId="5"/>
    <tableColumn id="3" xr3:uid="{19DE1B67-9543-4F35-9C9F-F42CF13D1BBA}" uniqueName="3" name="Column3" queryTableFieldId="3" dataDxfId="11" totalsRowDxfId="4"/>
    <tableColumn id="4" xr3:uid="{518527F0-DE24-476A-A4BB-13B2D01EC79D}" uniqueName="4" name="Column4" queryTableFieldId="4" dataDxfId="10" totalsRowDxfId="3"/>
    <tableColumn id="5" xr3:uid="{0A6BC9F8-9272-4231-A189-3BA63E599EBA}" uniqueName="5" name="Column5" totalsRowFunction="average" queryTableFieldId="5" dataDxfId="9" totalsRowDxfId="1"/>
    <tableColumn id="6" xr3:uid="{B48E7F89-A1F9-449A-A453-E466B8E8556B}" uniqueName="6" name="Column6" totalsRowFunction="average" queryTableFieldId="6" dataDxfId="8" totalsRowDxfId="0"/>
    <tableColumn id="7" xr3:uid="{51A1F7BB-691F-478F-B3E6-2F1877688DDB}" uniqueName="7" name="Column7" queryTableFieldId="7" dataDxfId="7" totalsRow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2777CE-61C3-4934-9F81-2A6EBE7F0BF8}" name="detection_results3" displayName="detection_results3" ref="A1:G82" tableType="queryTable" totalsRowCount="1">
  <autoFilter ref="A1:G81" xr:uid="{812777CE-61C3-4934-9F81-2A6EBE7F0BF8}"/>
  <tableColumns count="7">
    <tableColumn id="1" xr3:uid="{03CDB748-44A6-43F6-B4ED-2EFFE9617ABC}" uniqueName="1" name="Column1" totalsRowFunction="custom" queryTableFieldId="1" dataDxfId="69" totalsRowDxfId="62">
      <totalsRowFormula>AVERAGE(A4:A77)</totalsRowFormula>
    </tableColumn>
    <tableColumn id="2" xr3:uid="{F7FA4601-56E2-4AFA-86C0-9488AEB57919}" uniqueName="2" name="Column2" queryTableFieldId="2" dataDxfId="68" totalsRowDxfId="61"/>
    <tableColumn id="3" xr3:uid="{E6E09C11-F253-43D0-9834-2A4944454B50}" uniqueName="3" name="Column3" queryTableFieldId="3" dataDxfId="67" totalsRowDxfId="60"/>
    <tableColumn id="4" xr3:uid="{2585281B-0878-4B3B-9DBE-7F716973E19A}" uniqueName="4" name="Column4" queryTableFieldId="4" dataDxfId="66" totalsRowDxfId="59"/>
    <tableColumn id="5" xr3:uid="{AB54F989-4AD8-4103-A7A9-AD9CA87D3AD3}" uniqueName="5" name="Column5" totalsRowFunction="average" queryTableFieldId="5" dataDxfId="65" totalsRowDxfId="57"/>
    <tableColumn id="6" xr3:uid="{34BC26F2-5F11-4863-8E4B-C9B90708E840}" uniqueName="6" name="Column6" totalsRowFunction="average" queryTableFieldId="6" dataDxfId="64" totalsRowDxfId="56"/>
    <tableColumn id="7" xr3:uid="{AA607183-0FEB-4EB3-A739-E53010A0F7CA}" uniqueName="7" name="Column7" queryTableFieldId="7" dataDxfId="63" totalsRowDxfId="5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8C15A-7B2F-454F-B06E-9FE1F8646C67}">
  <dimension ref="A1:G80"/>
  <sheetViews>
    <sheetView topLeftCell="A61" workbookViewId="0">
      <selection activeCell="F80" sqref="F80"/>
    </sheetView>
  </sheetViews>
  <sheetFormatPr defaultRowHeight="15" x14ac:dyDescent="0.25"/>
  <cols>
    <col min="1" max="1" width="18.85546875" bestFit="1" customWidth="1"/>
    <col min="2" max="4" width="11.42578125" bestFit="1" customWidth="1"/>
    <col min="5" max="6" width="18.85546875" bestFit="1" customWidth="1"/>
    <col min="7" max="7" width="1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>
        <v>7506.6757202148401</v>
      </c>
      <c r="B3" s="1" t="s">
        <v>14</v>
      </c>
      <c r="C3" s="1" t="s">
        <v>106</v>
      </c>
      <c r="D3" s="1" t="s">
        <v>106</v>
      </c>
      <c r="E3" s="1">
        <v>1</v>
      </c>
      <c r="F3" s="1">
        <v>1</v>
      </c>
      <c r="G3" s="1" t="s">
        <v>24</v>
      </c>
    </row>
    <row r="4" spans="1:7" x14ac:dyDescent="0.25">
      <c r="A4" s="1">
        <v>126.33490562438899</v>
      </c>
      <c r="B4" s="1" t="s">
        <v>17</v>
      </c>
      <c r="C4" s="1" t="s">
        <v>106</v>
      </c>
      <c r="D4" s="1" t="s">
        <v>106</v>
      </c>
      <c r="E4" s="1">
        <v>1</v>
      </c>
      <c r="F4" s="1">
        <v>1</v>
      </c>
      <c r="G4" s="1" t="s">
        <v>24</v>
      </c>
    </row>
    <row r="5" spans="1:7" x14ac:dyDescent="0.25">
      <c r="A5" s="1">
        <v>123.51012229919399</v>
      </c>
      <c r="B5" s="1" t="s">
        <v>20</v>
      </c>
      <c r="C5" s="1" t="s">
        <v>106</v>
      </c>
      <c r="D5" s="1" t="s">
        <v>106</v>
      </c>
      <c r="E5" s="1">
        <v>1</v>
      </c>
      <c r="F5" s="1">
        <v>1</v>
      </c>
      <c r="G5" s="1" t="s">
        <v>24</v>
      </c>
    </row>
    <row r="6" spans="1:7" x14ac:dyDescent="0.25">
      <c r="A6" s="1">
        <v>122.51114845275799</v>
      </c>
      <c r="B6" s="1" t="s">
        <v>21</v>
      </c>
      <c r="C6" s="1" t="s">
        <v>106</v>
      </c>
      <c r="D6" s="1" t="s">
        <v>106</v>
      </c>
      <c r="E6" s="1">
        <v>1</v>
      </c>
      <c r="F6" s="1">
        <v>1</v>
      </c>
      <c r="G6" s="1" t="s">
        <v>24</v>
      </c>
    </row>
    <row r="7" spans="1:7" x14ac:dyDescent="0.25">
      <c r="A7" s="1">
        <v>86.272954940795898</v>
      </c>
      <c r="B7" s="1" t="s">
        <v>25</v>
      </c>
      <c r="C7" s="1" t="s">
        <v>101</v>
      </c>
      <c r="D7" s="1" t="s">
        <v>101</v>
      </c>
      <c r="E7" s="1">
        <v>1</v>
      </c>
      <c r="F7" s="1">
        <v>1</v>
      </c>
      <c r="G7" s="1" t="s">
        <v>19</v>
      </c>
    </row>
    <row r="8" spans="1:7" x14ac:dyDescent="0.25">
      <c r="A8" s="1">
        <v>121.65904045104899</v>
      </c>
      <c r="B8" s="1" t="s">
        <v>26</v>
      </c>
      <c r="C8" s="1" t="s">
        <v>107</v>
      </c>
      <c r="D8" s="1" t="s">
        <v>106</v>
      </c>
      <c r="E8" s="1">
        <v>0.66666666666666596</v>
      </c>
      <c r="F8" s="1">
        <v>0.66666666666666596</v>
      </c>
      <c r="G8" s="1" t="s">
        <v>24</v>
      </c>
    </row>
    <row r="9" spans="1:7" x14ac:dyDescent="0.25">
      <c r="A9" s="1">
        <v>86.932420730590806</v>
      </c>
      <c r="B9" s="1" t="s">
        <v>27</v>
      </c>
      <c r="C9" s="1" t="s">
        <v>101</v>
      </c>
      <c r="D9" s="1" t="s">
        <v>101</v>
      </c>
      <c r="E9" s="1">
        <v>1</v>
      </c>
      <c r="F9" s="1">
        <v>1</v>
      </c>
      <c r="G9" s="1" t="s">
        <v>19</v>
      </c>
    </row>
    <row r="10" spans="1:7" x14ac:dyDescent="0.25">
      <c r="A10" s="1">
        <v>122.668743133544</v>
      </c>
      <c r="B10" s="1" t="s">
        <v>28</v>
      </c>
      <c r="C10" s="1" t="s">
        <v>106</v>
      </c>
      <c r="D10" s="1" t="s">
        <v>106</v>
      </c>
      <c r="E10" s="1">
        <v>1</v>
      </c>
      <c r="F10" s="1">
        <v>1</v>
      </c>
      <c r="G10" s="1" t="s">
        <v>24</v>
      </c>
    </row>
    <row r="11" spans="1:7" x14ac:dyDescent="0.25">
      <c r="A11" s="1">
        <v>124.340295791625</v>
      </c>
      <c r="B11" s="1" t="s">
        <v>30</v>
      </c>
      <c r="C11" s="1" t="s">
        <v>106</v>
      </c>
      <c r="D11" s="1" t="s">
        <v>106</v>
      </c>
      <c r="E11" s="1">
        <v>1</v>
      </c>
      <c r="F11" s="1">
        <v>1</v>
      </c>
      <c r="G11" s="1" t="s">
        <v>24</v>
      </c>
    </row>
    <row r="12" spans="1:7" x14ac:dyDescent="0.25">
      <c r="A12" s="1">
        <v>123.96764755249001</v>
      </c>
      <c r="B12" s="1" t="s">
        <v>31</v>
      </c>
      <c r="C12" s="1" t="s">
        <v>106</v>
      </c>
      <c r="D12" s="1" t="s">
        <v>106</v>
      </c>
      <c r="E12" s="1">
        <v>1</v>
      </c>
      <c r="F12" s="1">
        <v>1</v>
      </c>
      <c r="G12" s="1" t="s">
        <v>24</v>
      </c>
    </row>
    <row r="13" spans="1:7" x14ac:dyDescent="0.25">
      <c r="A13" s="1">
        <v>124.563217163085</v>
      </c>
      <c r="B13" s="1" t="s">
        <v>32</v>
      </c>
      <c r="C13" s="1" t="s">
        <v>106</v>
      </c>
      <c r="D13" s="1" t="s">
        <v>106</v>
      </c>
      <c r="E13" s="1">
        <v>1</v>
      </c>
      <c r="F13" s="1">
        <v>1</v>
      </c>
      <c r="G13" s="1" t="s">
        <v>24</v>
      </c>
    </row>
    <row r="14" spans="1:7" x14ac:dyDescent="0.25">
      <c r="A14" s="1">
        <v>122.076272964477</v>
      </c>
      <c r="B14" s="1" t="s">
        <v>33</v>
      </c>
      <c r="C14" s="1" t="s">
        <v>106</v>
      </c>
      <c r="D14" s="1" t="s">
        <v>106</v>
      </c>
      <c r="E14" s="1">
        <v>1</v>
      </c>
      <c r="F14" s="1">
        <v>1</v>
      </c>
      <c r="G14" s="1" t="s">
        <v>24</v>
      </c>
    </row>
    <row r="15" spans="1:7" x14ac:dyDescent="0.25">
      <c r="A15" s="1">
        <v>124.759674072265</v>
      </c>
      <c r="B15" s="1" t="s">
        <v>34</v>
      </c>
      <c r="C15" s="1" t="s">
        <v>106</v>
      </c>
      <c r="D15" s="1" t="s">
        <v>106</v>
      </c>
      <c r="E15" s="1">
        <v>1</v>
      </c>
      <c r="F15" s="1">
        <v>1</v>
      </c>
      <c r="G15" s="1" t="s">
        <v>24</v>
      </c>
    </row>
    <row r="16" spans="1:7" x14ac:dyDescent="0.25">
      <c r="A16" s="1">
        <v>124.072551727294</v>
      </c>
      <c r="B16" s="1" t="s">
        <v>35</v>
      </c>
      <c r="C16" s="1" t="s">
        <v>106</v>
      </c>
      <c r="D16" s="1" t="s">
        <v>106</v>
      </c>
      <c r="E16" s="1">
        <v>1</v>
      </c>
      <c r="F16" s="1">
        <v>1</v>
      </c>
      <c r="G16" s="1" t="s">
        <v>24</v>
      </c>
    </row>
    <row r="17" spans="1:7" x14ac:dyDescent="0.25">
      <c r="A17" s="1">
        <v>122.881412506103</v>
      </c>
      <c r="B17" s="1" t="s">
        <v>36</v>
      </c>
      <c r="C17" s="1" t="s">
        <v>106</v>
      </c>
      <c r="D17" s="1" t="s">
        <v>106</v>
      </c>
      <c r="E17" s="1">
        <v>1</v>
      </c>
      <c r="F17" s="1">
        <v>1</v>
      </c>
      <c r="G17" s="1" t="s">
        <v>24</v>
      </c>
    </row>
    <row r="18" spans="1:7" x14ac:dyDescent="0.25">
      <c r="A18" s="1">
        <v>124.674320220947</v>
      </c>
      <c r="B18" s="1" t="s">
        <v>37</v>
      </c>
      <c r="C18" s="1" t="s">
        <v>106</v>
      </c>
      <c r="D18" s="1" t="s">
        <v>106</v>
      </c>
      <c r="E18" s="1">
        <v>1</v>
      </c>
      <c r="F18" s="1">
        <v>1</v>
      </c>
      <c r="G18" s="1" t="s">
        <v>24</v>
      </c>
    </row>
    <row r="19" spans="1:7" x14ac:dyDescent="0.25">
      <c r="A19" s="1">
        <v>123.639106750488</v>
      </c>
      <c r="B19" s="1" t="s">
        <v>38</v>
      </c>
      <c r="C19" s="1" t="s">
        <v>106</v>
      </c>
      <c r="D19" s="1" t="s">
        <v>106</v>
      </c>
      <c r="E19" s="1">
        <v>1</v>
      </c>
      <c r="F19" s="1">
        <v>1</v>
      </c>
      <c r="G19" s="1" t="s">
        <v>24</v>
      </c>
    </row>
    <row r="20" spans="1:7" x14ac:dyDescent="0.25">
      <c r="A20" s="1">
        <v>124.202013015747</v>
      </c>
      <c r="B20" s="1" t="s">
        <v>39</v>
      </c>
      <c r="C20" s="1" t="s">
        <v>106</v>
      </c>
      <c r="D20" s="1" t="s">
        <v>106</v>
      </c>
      <c r="E20" s="1">
        <v>1</v>
      </c>
      <c r="F20" s="1">
        <v>1</v>
      </c>
      <c r="G20" s="1" t="s">
        <v>24</v>
      </c>
    </row>
    <row r="21" spans="1:7" x14ac:dyDescent="0.25">
      <c r="A21" s="1">
        <v>123.73018264770501</v>
      </c>
      <c r="B21" s="1" t="s">
        <v>40</v>
      </c>
      <c r="C21" s="1" t="s">
        <v>106</v>
      </c>
      <c r="D21" s="1" t="s">
        <v>106</v>
      </c>
      <c r="E21" s="1">
        <v>1</v>
      </c>
      <c r="F21" s="1">
        <v>1</v>
      </c>
      <c r="G21" s="1" t="s">
        <v>24</v>
      </c>
    </row>
    <row r="22" spans="1:7" x14ac:dyDescent="0.25">
      <c r="A22" s="1">
        <v>124.858379364013</v>
      </c>
      <c r="B22" s="1" t="s">
        <v>41</v>
      </c>
      <c r="C22" s="1" t="s">
        <v>106</v>
      </c>
      <c r="D22" s="1" t="s">
        <v>106</v>
      </c>
      <c r="E22" s="1">
        <v>1</v>
      </c>
      <c r="F22" s="1">
        <v>1</v>
      </c>
      <c r="G22" s="1" t="s">
        <v>24</v>
      </c>
    </row>
    <row r="23" spans="1:7" x14ac:dyDescent="0.25">
      <c r="A23" s="1">
        <v>125.086784362792</v>
      </c>
      <c r="B23" s="1" t="s">
        <v>42</v>
      </c>
      <c r="C23" s="1" t="s">
        <v>106</v>
      </c>
      <c r="D23" s="1" t="s">
        <v>106</v>
      </c>
      <c r="E23" s="1">
        <v>1</v>
      </c>
      <c r="F23" s="1">
        <v>1</v>
      </c>
      <c r="G23" s="1" t="s">
        <v>24</v>
      </c>
    </row>
    <row r="24" spans="1:7" x14ac:dyDescent="0.25">
      <c r="A24" s="1">
        <v>123.287677764892</v>
      </c>
      <c r="B24" s="1" t="s">
        <v>43</v>
      </c>
      <c r="C24" s="1" t="s">
        <v>106</v>
      </c>
      <c r="D24" s="1" t="s">
        <v>106</v>
      </c>
      <c r="E24" s="1">
        <v>1</v>
      </c>
      <c r="F24" s="1">
        <v>1</v>
      </c>
      <c r="G24" s="1" t="s">
        <v>24</v>
      </c>
    </row>
    <row r="25" spans="1:7" x14ac:dyDescent="0.25">
      <c r="A25" s="1">
        <v>122.92456626892</v>
      </c>
      <c r="B25" s="1" t="s">
        <v>44</v>
      </c>
      <c r="C25" s="1" t="s">
        <v>106</v>
      </c>
      <c r="D25" s="1" t="s">
        <v>106</v>
      </c>
      <c r="E25" s="1">
        <v>1</v>
      </c>
      <c r="F25" s="1">
        <v>1</v>
      </c>
      <c r="G25" s="1" t="s">
        <v>24</v>
      </c>
    </row>
    <row r="26" spans="1:7" x14ac:dyDescent="0.25">
      <c r="A26" s="1">
        <v>85.871458053588796</v>
      </c>
      <c r="B26" s="1" t="s">
        <v>45</v>
      </c>
      <c r="C26" s="1" t="s">
        <v>101</v>
      </c>
      <c r="D26" s="1" t="s">
        <v>101</v>
      </c>
      <c r="E26" s="1">
        <v>1</v>
      </c>
      <c r="F26" s="1">
        <v>1</v>
      </c>
      <c r="G26" s="1" t="s">
        <v>19</v>
      </c>
    </row>
    <row r="27" spans="1:7" x14ac:dyDescent="0.25">
      <c r="A27" s="1">
        <v>124.804019927978</v>
      </c>
      <c r="B27" s="1" t="s">
        <v>47</v>
      </c>
      <c r="C27" s="1" t="s">
        <v>106</v>
      </c>
      <c r="D27" s="1" t="s">
        <v>106</v>
      </c>
      <c r="E27" s="1">
        <v>1</v>
      </c>
      <c r="F27" s="1">
        <v>1</v>
      </c>
      <c r="G27" s="1" t="s">
        <v>24</v>
      </c>
    </row>
    <row r="28" spans="1:7" x14ac:dyDescent="0.25">
      <c r="A28" s="1">
        <v>121.74797058105401</v>
      </c>
      <c r="B28" s="1" t="s">
        <v>48</v>
      </c>
      <c r="C28" s="1" t="s">
        <v>106</v>
      </c>
      <c r="D28" s="1" t="s">
        <v>106</v>
      </c>
      <c r="E28" s="1">
        <v>1</v>
      </c>
      <c r="F28" s="1">
        <v>1</v>
      </c>
      <c r="G28" s="1" t="s">
        <v>24</v>
      </c>
    </row>
    <row r="29" spans="1:7" x14ac:dyDescent="0.25">
      <c r="A29" s="1">
        <v>86.766242980957003</v>
      </c>
      <c r="B29" s="1" t="s">
        <v>49</v>
      </c>
      <c r="C29" s="1" t="s">
        <v>101</v>
      </c>
      <c r="D29" s="1" t="s">
        <v>101</v>
      </c>
      <c r="E29" s="1">
        <v>1</v>
      </c>
      <c r="F29" s="1">
        <v>1</v>
      </c>
      <c r="G29" s="1" t="s">
        <v>19</v>
      </c>
    </row>
    <row r="30" spans="1:7" x14ac:dyDescent="0.25">
      <c r="A30" s="1">
        <v>121.740818023681</v>
      </c>
      <c r="B30" s="1" t="s">
        <v>50</v>
      </c>
      <c r="C30" s="1" t="s">
        <v>106</v>
      </c>
      <c r="D30" s="1" t="s">
        <v>106</v>
      </c>
      <c r="E30" s="1">
        <v>1</v>
      </c>
      <c r="F30" s="1">
        <v>1</v>
      </c>
      <c r="G30" s="1" t="s">
        <v>24</v>
      </c>
    </row>
    <row r="31" spans="1:7" x14ac:dyDescent="0.25">
      <c r="A31" s="1">
        <v>123.46601486206001</v>
      </c>
      <c r="B31" s="1" t="s">
        <v>51</v>
      </c>
      <c r="C31" s="1" t="s">
        <v>106</v>
      </c>
      <c r="D31" s="1" t="s">
        <v>106</v>
      </c>
      <c r="E31" s="1">
        <v>1</v>
      </c>
      <c r="F31" s="1">
        <v>1</v>
      </c>
      <c r="G31" s="1" t="s">
        <v>24</v>
      </c>
    </row>
    <row r="32" spans="1:7" x14ac:dyDescent="0.25">
      <c r="A32" s="1">
        <v>126.019954681396</v>
      </c>
      <c r="B32" s="1" t="s">
        <v>52</v>
      </c>
      <c r="C32" s="1" t="s">
        <v>106</v>
      </c>
      <c r="D32" s="1" t="s">
        <v>106</v>
      </c>
      <c r="E32" s="1">
        <v>1</v>
      </c>
      <c r="F32" s="1">
        <v>1</v>
      </c>
      <c r="G32" s="1" t="s">
        <v>24</v>
      </c>
    </row>
    <row r="33" spans="1:7" x14ac:dyDescent="0.25">
      <c r="A33" s="1">
        <v>125.217199325561</v>
      </c>
      <c r="B33" s="1" t="s">
        <v>53</v>
      </c>
      <c r="C33" s="1" t="s">
        <v>106</v>
      </c>
      <c r="D33" s="1" t="s">
        <v>106</v>
      </c>
      <c r="E33" s="1">
        <v>1</v>
      </c>
      <c r="F33" s="1">
        <v>1</v>
      </c>
      <c r="G33" s="1" t="s">
        <v>24</v>
      </c>
    </row>
    <row r="34" spans="1:7" x14ac:dyDescent="0.25">
      <c r="A34" s="1">
        <v>124.219179153442</v>
      </c>
      <c r="B34" s="1" t="s">
        <v>54</v>
      </c>
      <c r="C34" s="1" t="s">
        <v>106</v>
      </c>
      <c r="D34" s="1" t="s">
        <v>106</v>
      </c>
      <c r="E34" s="1">
        <v>1</v>
      </c>
      <c r="F34" s="1">
        <v>1</v>
      </c>
      <c r="G34" s="1" t="s">
        <v>24</v>
      </c>
    </row>
    <row r="35" spans="1:7" x14ac:dyDescent="0.25">
      <c r="A35" s="1">
        <v>124.92489814758299</v>
      </c>
      <c r="B35" s="1" t="s">
        <v>55</v>
      </c>
      <c r="C35" s="1" t="s">
        <v>106</v>
      </c>
      <c r="D35" s="1" t="s">
        <v>106</v>
      </c>
      <c r="E35" s="1">
        <v>1</v>
      </c>
      <c r="F35" s="1">
        <v>1</v>
      </c>
      <c r="G35" s="1" t="s">
        <v>24</v>
      </c>
    </row>
    <row r="36" spans="1:7" x14ac:dyDescent="0.25">
      <c r="A36" s="1">
        <v>124.021291732788</v>
      </c>
      <c r="B36" s="1" t="s">
        <v>56</v>
      </c>
      <c r="C36" s="1" t="s">
        <v>106</v>
      </c>
      <c r="D36" s="1" t="s">
        <v>106</v>
      </c>
      <c r="E36" s="1">
        <v>1</v>
      </c>
      <c r="F36" s="1">
        <v>1</v>
      </c>
      <c r="G36" s="1" t="s">
        <v>24</v>
      </c>
    </row>
    <row r="37" spans="1:7" x14ac:dyDescent="0.25">
      <c r="A37" s="1">
        <v>122.65086174011201</v>
      </c>
      <c r="B37" s="1" t="s">
        <v>57</v>
      </c>
      <c r="C37" s="1" t="s">
        <v>106</v>
      </c>
      <c r="D37" s="1" t="s">
        <v>106</v>
      </c>
      <c r="E37" s="1">
        <v>1</v>
      </c>
      <c r="F37" s="1">
        <v>1</v>
      </c>
      <c r="G37" s="1" t="s">
        <v>24</v>
      </c>
    </row>
    <row r="38" spans="1:7" x14ac:dyDescent="0.25">
      <c r="A38" s="1">
        <v>123.86274337768501</v>
      </c>
      <c r="B38" s="1" t="s">
        <v>58</v>
      </c>
      <c r="C38" s="1" t="s">
        <v>106</v>
      </c>
      <c r="D38" s="1" t="s">
        <v>106</v>
      </c>
      <c r="E38" s="1">
        <v>1</v>
      </c>
      <c r="F38" s="1">
        <v>1</v>
      </c>
      <c r="G38" s="1" t="s">
        <v>24</v>
      </c>
    </row>
    <row r="39" spans="1:7" x14ac:dyDescent="0.25">
      <c r="A39" s="1">
        <v>123.18921089172299</v>
      </c>
      <c r="B39" s="1" t="s">
        <v>59</v>
      </c>
      <c r="C39" s="1" t="s">
        <v>106</v>
      </c>
      <c r="D39" s="1" t="s">
        <v>106</v>
      </c>
      <c r="E39" s="1">
        <v>1</v>
      </c>
      <c r="F39" s="1">
        <v>1</v>
      </c>
      <c r="G39" s="1" t="s">
        <v>24</v>
      </c>
    </row>
    <row r="40" spans="1:7" x14ac:dyDescent="0.25">
      <c r="A40" s="1">
        <v>121.51074409484799</v>
      </c>
      <c r="B40" s="1" t="s">
        <v>60</v>
      </c>
      <c r="C40" s="1" t="s">
        <v>106</v>
      </c>
      <c r="D40" s="1" t="s">
        <v>106</v>
      </c>
      <c r="E40" s="1">
        <v>1</v>
      </c>
      <c r="F40" s="1">
        <v>1</v>
      </c>
      <c r="G40" s="1" t="s">
        <v>24</v>
      </c>
    </row>
    <row r="41" spans="1:7" x14ac:dyDescent="0.25">
      <c r="A41" s="1">
        <v>122.67470359802201</v>
      </c>
      <c r="B41" s="1" t="s">
        <v>61</v>
      </c>
      <c r="C41" s="1" t="s">
        <v>106</v>
      </c>
      <c r="D41" s="1" t="s">
        <v>106</v>
      </c>
      <c r="E41" s="1">
        <v>1</v>
      </c>
      <c r="F41" s="1">
        <v>1</v>
      </c>
      <c r="G41" s="1" t="s">
        <v>24</v>
      </c>
    </row>
    <row r="42" spans="1:7" x14ac:dyDescent="0.25">
      <c r="A42" s="1">
        <v>123.16536903381299</v>
      </c>
      <c r="B42" s="1" t="s">
        <v>62</v>
      </c>
      <c r="C42" s="1" t="s">
        <v>106</v>
      </c>
      <c r="D42" s="1" t="s">
        <v>106</v>
      </c>
      <c r="E42" s="1">
        <v>1</v>
      </c>
      <c r="F42" s="1">
        <v>1</v>
      </c>
      <c r="G42" s="1" t="s">
        <v>24</v>
      </c>
    </row>
    <row r="43" spans="1:7" x14ac:dyDescent="0.25">
      <c r="A43" s="1">
        <v>125.61488151550201</v>
      </c>
      <c r="B43" s="1" t="s">
        <v>63</v>
      </c>
      <c r="C43" s="1" t="s">
        <v>106</v>
      </c>
      <c r="D43" s="1" t="s">
        <v>106</v>
      </c>
      <c r="E43" s="1">
        <v>1</v>
      </c>
      <c r="F43" s="1">
        <v>1</v>
      </c>
      <c r="G43" s="1" t="s">
        <v>24</v>
      </c>
    </row>
    <row r="44" spans="1:7" x14ac:dyDescent="0.25">
      <c r="A44" s="1">
        <v>86.010217666625906</v>
      </c>
      <c r="B44" s="1" t="s">
        <v>64</v>
      </c>
      <c r="C44" s="1" t="s">
        <v>101</v>
      </c>
      <c r="D44" s="1" t="s">
        <v>101</v>
      </c>
      <c r="E44" s="1">
        <v>1</v>
      </c>
      <c r="F44" s="1">
        <v>1</v>
      </c>
      <c r="G44" s="1" t="s">
        <v>19</v>
      </c>
    </row>
    <row r="45" spans="1:7" x14ac:dyDescent="0.25">
      <c r="A45" s="1">
        <v>126.89661979675201</v>
      </c>
      <c r="B45" s="1" t="s">
        <v>65</v>
      </c>
      <c r="C45" s="1" t="s">
        <v>106</v>
      </c>
      <c r="D45" s="1" t="s">
        <v>106</v>
      </c>
      <c r="E45" s="1">
        <v>1</v>
      </c>
      <c r="F45" s="1">
        <v>1</v>
      </c>
      <c r="G45" s="1" t="s">
        <v>24</v>
      </c>
    </row>
    <row r="46" spans="1:7" x14ac:dyDescent="0.25">
      <c r="A46" s="1">
        <v>123.188495635986</v>
      </c>
      <c r="B46" s="1" t="s">
        <v>66</v>
      </c>
      <c r="C46" s="1" t="s">
        <v>106</v>
      </c>
      <c r="D46" s="1" t="s">
        <v>106</v>
      </c>
      <c r="E46" s="1">
        <v>1</v>
      </c>
      <c r="F46" s="1">
        <v>1</v>
      </c>
      <c r="G46" s="1" t="s">
        <v>24</v>
      </c>
    </row>
    <row r="47" spans="1:7" x14ac:dyDescent="0.25">
      <c r="A47" s="1">
        <v>124.27425384521401</v>
      </c>
      <c r="B47" s="1" t="s">
        <v>67</v>
      </c>
      <c r="C47" s="1" t="s">
        <v>106</v>
      </c>
      <c r="D47" s="1" t="s">
        <v>106</v>
      </c>
      <c r="E47" s="1">
        <v>1</v>
      </c>
      <c r="F47" s="1">
        <v>1</v>
      </c>
      <c r="G47" s="1" t="s">
        <v>24</v>
      </c>
    </row>
    <row r="48" spans="1:7" x14ac:dyDescent="0.25">
      <c r="A48" s="1">
        <v>125.382423400878</v>
      </c>
      <c r="B48" s="1" t="s">
        <v>68</v>
      </c>
      <c r="C48" s="1" t="s">
        <v>106</v>
      </c>
      <c r="D48" s="1" t="s">
        <v>106</v>
      </c>
      <c r="E48" s="1">
        <v>1</v>
      </c>
      <c r="F48" s="1">
        <v>1</v>
      </c>
      <c r="G48" s="1" t="s">
        <v>24</v>
      </c>
    </row>
    <row r="49" spans="1:7" x14ac:dyDescent="0.25">
      <c r="A49" s="1">
        <v>122.687816619873</v>
      </c>
      <c r="B49" s="1" t="s">
        <v>69</v>
      </c>
      <c r="C49" s="1" t="s">
        <v>106</v>
      </c>
      <c r="D49" s="1" t="s">
        <v>106</v>
      </c>
      <c r="E49" s="1">
        <v>1</v>
      </c>
      <c r="F49" s="1">
        <v>1</v>
      </c>
      <c r="G49" s="1" t="s">
        <v>24</v>
      </c>
    </row>
    <row r="50" spans="1:7" x14ac:dyDescent="0.25">
      <c r="A50" s="1">
        <v>122.460603713989</v>
      </c>
      <c r="B50" s="1" t="s">
        <v>70</v>
      </c>
      <c r="C50" s="1" t="s">
        <v>106</v>
      </c>
      <c r="D50" s="1" t="s">
        <v>106</v>
      </c>
      <c r="E50" s="1">
        <v>1</v>
      </c>
      <c r="F50" s="1">
        <v>1</v>
      </c>
      <c r="G50" s="1" t="s">
        <v>24</v>
      </c>
    </row>
    <row r="51" spans="1:7" x14ac:dyDescent="0.25">
      <c r="A51" s="1">
        <v>124.289274215698</v>
      </c>
      <c r="B51" s="1" t="s">
        <v>71</v>
      </c>
      <c r="C51" s="1" t="s">
        <v>106</v>
      </c>
      <c r="D51" s="1" t="s">
        <v>106</v>
      </c>
      <c r="E51" s="1">
        <v>1</v>
      </c>
      <c r="F51" s="1">
        <v>1</v>
      </c>
      <c r="G51" s="1" t="s">
        <v>24</v>
      </c>
    </row>
    <row r="52" spans="1:7" x14ac:dyDescent="0.25">
      <c r="A52" s="1">
        <v>124.845743179321</v>
      </c>
      <c r="B52" s="1" t="s">
        <v>72</v>
      </c>
      <c r="C52" s="1" t="s">
        <v>106</v>
      </c>
      <c r="D52" s="1" t="s">
        <v>106</v>
      </c>
      <c r="E52" s="1">
        <v>1</v>
      </c>
      <c r="F52" s="1">
        <v>1</v>
      </c>
      <c r="G52" s="1" t="s">
        <v>24</v>
      </c>
    </row>
    <row r="53" spans="1:7" x14ac:dyDescent="0.25">
      <c r="A53" s="1">
        <v>123.711585998535</v>
      </c>
      <c r="B53" s="1" t="s">
        <v>73</v>
      </c>
      <c r="C53" s="1" t="s">
        <v>106</v>
      </c>
      <c r="D53" s="1" t="s">
        <v>106</v>
      </c>
      <c r="E53" s="1">
        <v>1</v>
      </c>
      <c r="F53" s="1">
        <v>1</v>
      </c>
      <c r="G53" s="1" t="s">
        <v>24</v>
      </c>
    </row>
    <row r="54" spans="1:7" x14ac:dyDescent="0.25">
      <c r="A54" s="1">
        <v>124.71961975097599</v>
      </c>
      <c r="B54" s="1" t="s">
        <v>74</v>
      </c>
      <c r="C54" s="1" t="s">
        <v>106</v>
      </c>
      <c r="D54" s="1" t="s">
        <v>106</v>
      </c>
      <c r="E54" s="1">
        <v>1</v>
      </c>
      <c r="F54" s="1">
        <v>1</v>
      </c>
      <c r="G54" s="1" t="s">
        <v>24</v>
      </c>
    </row>
    <row r="55" spans="1:7" x14ac:dyDescent="0.25">
      <c r="A55" s="1">
        <v>125.938653945922</v>
      </c>
      <c r="B55" s="1" t="s">
        <v>75</v>
      </c>
      <c r="C55" s="1" t="s">
        <v>106</v>
      </c>
      <c r="D55" s="1" t="s">
        <v>106</v>
      </c>
      <c r="E55" s="1">
        <v>1</v>
      </c>
      <c r="F55" s="1">
        <v>1</v>
      </c>
      <c r="G55" s="1" t="s">
        <v>24</v>
      </c>
    </row>
    <row r="56" spans="1:7" x14ac:dyDescent="0.25">
      <c r="A56" s="1">
        <v>124.34673309326099</v>
      </c>
      <c r="B56" s="1" t="s">
        <v>76</v>
      </c>
      <c r="C56" s="1" t="s">
        <v>106</v>
      </c>
      <c r="D56" s="1" t="s">
        <v>106</v>
      </c>
      <c r="E56" s="1">
        <v>1</v>
      </c>
      <c r="F56" s="1">
        <v>1</v>
      </c>
      <c r="G56" s="1" t="s">
        <v>24</v>
      </c>
    </row>
    <row r="57" spans="1:7" x14ac:dyDescent="0.25">
      <c r="A57" s="1">
        <v>123.954057693481</v>
      </c>
      <c r="B57" s="1" t="s">
        <v>77</v>
      </c>
      <c r="C57" s="1" t="s">
        <v>106</v>
      </c>
      <c r="D57" s="1" t="s">
        <v>106</v>
      </c>
      <c r="E57" s="1">
        <v>1</v>
      </c>
      <c r="F57" s="1">
        <v>1</v>
      </c>
      <c r="G57" s="1" t="s">
        <v>24</v>
      </c>
    </row>
    <row r="58" spans="1:7" x14ac:dyDescent="0.25">
      <c r="A58" s="1">
        <v>122.498989105224</v>
      </c>
      <c r="B58" s="1" t="s">
        <v>78</v>
      </c>
      <c r="C58" s="1" t="s">
        <v>106</v>
      </c>
      <c r="D58" s="1" t="s">
        <v>106</v>
      </c>
      <c r="E58" s="1">
        <v>1</v>
      </c>
      <c r="F58" s="1">
        <v>1</v>
      </c>
      <c r="G58" s="1" t="s">
        <v>24</v>
      </c>
    </row>
    <row r="59" spans="1:7" x14ac:dyDescent="0.25">
      <c r="A59" s="1">
        <v>124.443769454956</v>
      </c>
      <c r="B59" s="1" t="s">
        <v>79</v>
      </c>
      <c r="C59" s="1" t="s">
        <v>106</v>
      </c>
      <c r="D59" s="1" t="s">
        <v>106</v>
      </c>
      <c r="E59" s="1">
        <v>1</v>
      </c>
      <c r="F59" s="1">
        <v>1</v>
      </c>
      <c r="G59" s="1" t="s">
        <v>24</v>
      </c>
    </row>
    <row r="60" spans="1:7" x14ac:dyDescent="0.25">
      <c r="A60" s="1">
        <v>121.60682678222599</v>
      </c>
      <c r="B60" s="1" t="s">
        <v>80</v>
      </c>
      <c r="C60" s="1" t="s">
        <v>106</v>
      </c>
      <c r="D60" s="1" t="s">
        <v>106</v>
      </c>
      <c r="E60" s="1">
        <v>1</v>
      </c>
      <c r="F60" s="1">
        <v>1</v>
      </c>
      <c r="G60" s="1" t="s">
        <v>24</v>
      </c>
    </row>
    <row r="61" spans="1:7" x14ac:dyDescent="0.25">
      <c r="A61" s="1">
        <v>87.030172348022404</v>
      </c>
      <c r="B61" s="1" t="s">
        <v>81</v>
      </c>
      <c r="C61" s="1" t="s">
        <v>101</v>
      </c>
      <c r="D61" s="1" t="s">
        <v>101</v>
      </c>
      <c r="E61" s="1">
        <v>1</v>
      </c>
      <c r="F61" s="1">
        <v>1</v>
      </c>
      <c r="G61" s="1" t="s">
        <v>19</v>
      </c>
    </row>
    <row r="62" spans="1:7" x14ac:dyDescent="0.25">
      <c r="A62" s="1">
        <v>122.911930084228</v>
      </c>
      <c r="B62" s="1" t="s">
        <v>82</v>
      </c>
      <c r="C62" s="1" t="s">
        <v>106</v>
      </c>
      <c r="D62" s="1" t="s">
        <v>106</v>
      </c>
      <c r="E62" s="1">
        <v>1</v>
      </c>
      <c r="F62" s="1">
        <v>1</v>
      </c>
      <c r="G62" s="1" t="s">
        <v>24</v>
      </c>
    </row>
    <row r="63" spans="1:7" x14ac:dyDescent="0.25">
      <c r="A63" s="1">
        <v>123.845100402832</v>
      </c>
      <c r="B63" s="1" t="s">
        <v>83</v>
      </c>
      <c r="C63" s="1" t="s">
        <v>106</v>
      </c>
      <c r="D63" s="1" t="s">
        <v>106</v>
      </c>
      <c r="E63" s="1">
        <v>1</v>
      </c>
      <c r="F63" s="1">
        <v>1</v>
      </c>
      <c r="G63" s="1" t="s">
        <v>24</v>
      </c>
    </row>
    <row r="64" spans="1:7" x14ac:dyDescent="0.25">
      <c r="A64" s="1">
        <v>123.830318450927</v>
      </c>
      <c r="B64" s="1" t="s">
        <v>84</v>
      </c>
      <c r="C64" s="1" t="s">
        <v>106</v>
      </c>
      <c r="D64" s="1" t="s">
        <v>106</v>
      </c>
      <c r="E64" s="1">
        <v>1</v>
      </c>
      <c r="F64" s="1">
        <v>1</v>
      </c>
      <c r="G64" s="1" t="s">
        <v>24</v>
      </c>
    </row>
    <row r="65" spans="1:7" x14ac:dyDescent="0.25">
      <c r="A65" s="1">
        <v>123.717546463012</v>
      </c>
      <c r="B65" s="1" t="s">
        <v>85</v>
      </c>
      <c r="C65" s="1" t="s">
        <v>106</v>
      </c>
      <c r="D65" s="1" t="s">
        <v>106</v>
      </c>
      <c r="E65" s="1">
        <v>1</v>
      </c>
      <c r="F65" s="1">
        <v>1</v>
      </c>
      <c r="G65" s="1" t="s">
        <v>24</v>
      </c>
    </row>
    <row r="66" spans="1:7" x14ac:dyDescent="0.25">
      <c r="A66" s="1">
        <v>122.130393981933</v>
      </c>
      <c r="B66" s="1" t="s">
        <v>86</v>
      </c>
      <c r="C66" s="1" t="s">
        <v>106</v>
      </c>
      <c r="D66" s="1" t="s">
        <v>106</v>
      </c>
      <c r="E66" s="1">
        <v>1</v>
      </c>
      <c r="F66" s="1">
        <v>1</v>
      </c>
      <c r="G66" s="1" t="s">
        <v>24</v>
      </c>
    </row>
    <row r="67" spans="1:7" x14ac:dyDescent="0.25">
      <c r="A67" s="1">
        <v>124.37343597412099</v>
      </c>
      <c r="B67" s="1" t="s">
        <v>87</v>
      </c>
      <c r="C67" s="1" t="s">
        <v>106</v>
      </c>
      <c r="D67" s="1" t="s">
        <v>106</v>
      </c>
      <c r="E67" s="1">
        <v>1</v>
      </c>
      <c r="F67" s="1">
        <v>1</v>
      </c>
      <c r="G67" s="1" t="s">
        <v>24</v>
      </c>
    </row>
    <row r="68" spans="1:7" x14ac:dyDescent="0.25">
      <c r="A68" s="1">
        <v>125.177860260009</v>
      </c>
      <c r="B68" s="1" t="s">
        <v>88</v>
      </c>
      <c r="C68" s="1" t="s">
        <v>106</v>
      </c>
      <c r="D68" s="1" t="s">
        <v>106</v>
      </c>
      <c r="E68" s="1">
        <v>1</v>
      </c>
      <c r="F68" s="1">
        <v>1</v>
      </c>
      <c r="G68" s="1" t="s">
        <v>24</v>
      </c>
    </row>
    <row r="69" spans="1:7" x14ac:dyDescent="0.25">
      <c r="A69" s="1">
        <v>125.68044662475501</v>
      </c>
      <c r="B69" s="1" t="s">
        <v>89</v>
      </c>
      <c r="C69" s="1" t="s">
        <v>106</v>
      </c>
      <c r="D69" s="1" t="s">
        <v>106</v>
      </c>
      <c r="E69" s="1">
        <v>1</v>
      </c>
      <c r="F69" s="1">
        <v>1</v>
      </c>
      <c r="G69" s="1" t="s">
        <v>24</v>
      </c>
    </row>
    <row r="70" spans="1:7" x14ac:dyDescent="0.25">
      <c r="A70" s="1">
        <v>124.34458732604899</v>
      </c>
      <c r="B70" s="1" t="s">
        <v>90</v>
      </c>
      <c r="C70" s="1" t="s">
        <v>106</v>
      </c>
      <c r="D70" s="1" t="s">
        <v>106</v>
      </c>
      <c r="E70" s="1">
        <v>1</v>
      </c>
      <c r="F70" s="1">
        <v>1</v>
      </c>
      <c r="G70" s="1" t="s">
        <v>24</v>
      </c>
    </row>
    <row r="71" spans="1:7" x14ac:dyDescent="0.25">
      <c r="A71" s="1">
        <v>122.74169921875</v>
      </c>
      <c r="B71" s="1" t="s">
        <v>92</v>
      </c>
      <c r="C71" s="1" t="s">
        <v>106</v>
      </c>
      <c r="D71" s="1" t="s">
        <v>106</v>
      </c>
      <c r="E71" s="1">
        <v>1</v>
      </c>
      <c r="F71" s="1">
        <v>1</v>
      </c>
      <c r="G71" s="1" t="s">
        <v>24</v>
      </c>
    </row>
    <row r="72" spans="1:7" x14ac:dyDescent="0.25">
      <c r="A72" s="1">
        <v>125.105619430541</v>
      </c>
      <c r="B72" s="1" t="s">
        <v>93</v>
      </c>
      <c r="C72" s="1" t="s">
        <v>106</v>
      </c>
      <c r="D72" s="1" t="s">
        <v>106</v>
      </c>
      <c r="E72" s="1">
        <v>1</v>
      </c>
      <c r="F72" s="1">
        <v>1</v>
      </c>
      <c r="G72" s="1" t="s">
        <v>24</v>
      </c>
    </row>
    <row r="73" spans="1:7" x14ac:dyDescent="0.25">
      <c r="A73" s="1">
        <v>122.102499008178</v>
      </c>
      <c r="B73" s="1" t="s">
        <v>94</v>
      </c>
      <c r="C73" s="1" t="s">
        <v>106</v>
      </c>
      <c r="D73" s="1" t="s">
        <v>106</v>
      </c>
      <c r="E73" s="1">
        <v>1</v>
      </c>
      <c r="F73" s="1">
        <v>1</v>
      </c>
      <c r="G73" s="1" t="s">
        <v>24</v>
      </c>
    </row>
    <row r="74" spans="1:7" x14ac:dyDescent="0.25">
      <c r="A74" s="1">
        <v>121.82927131652799</v>
      </c>
      <c r="B74" s="1" t="s">
        <v>95</v>
      </c>
      <c r="C74" s="1" t="s">
        <v>106</v>
      </c>
      <c r="D74" s="1" t="s">
        <v>106</v>
      </c>
      <c r="E74" s="1">
        <v>1</v>
      </c>
      <c r="F74" s="1">
        <v>1</v>
      </c>
      <c r="G74" s="1" t="s">
        <v>24</v>
      </c>
    </row>
    <row r="75" spans="1:7" x14ac:dyDescent="0.25">
      <c r="A75" s="1">
        <v>124.8140335083</v>
      </c>
      <c r="B75" s="1" t="s">
        <v>96</v>
      </c>
      <c r="C75" s="1" t="s">
        <v>106</v>
      </c>
      <c r="D75" s="1" t="s">
        <v>106</v>
      </c>
      <c r="E75" s="1">
        <v>1</v>
      </c>
      <c r="F75" s="1">
        <v>1</v>
      </c>
      <c r="G75" s="1" t="s">
        <v>24</v>
      </c>
    </row>
    <row r="76" spans="1:7" x14ac:dyDescent="0.25">
      <c r="A76" s="1">
        <v>85.907459259033203</v>
      </c>
      <c r="B76" s="1" t="s">
        <v>97</v>
      </c>
      <c r="C76" s="1" t="s">
        <v>101</v>
      </c>
      <c r="D76" s="1" t="s">
        <v>101</v>
      </c>
      <c r="E76" s="1">
        <v>1</v>
      </c>
      <c r="F76" s="1">
        <v>1</v>
      </c>
      <c r="G76" s="1" t="s">
        <v>19</v>
      </c>
    </row>
    <row r="77" spans="1:7" x14ac:dyDescent="0.25">
      <c r="A77" s="1">
        <v>122.821569442749</v>
      </c>
      <c r="B77" s="1" t="s">
        <v>98</v>
      </c>
      <c r="C77" s="1" t="s">
        <v>106</v>
      </c>
      <c r="D77" s="1" t="s">
        <v>106</v>
      </c>
      <c r="E77" s="1">
        <v>1</v>
      </c>
      <c r="F77" s="1">
        <v>1</v>
      </c>
      <c r="G77" s="1" t="s">
        <v>24</v>
      </c>
    </row>
    <row r="78" spans="1:7" x14ac:dyDescent="0.25">
      <c r="A78" s="1"/>
      <c r="B78" s="1"/>
      <c r="C78" s="1"/>
      <c r="D78" s="1"/>
      <c r="E78" s="1"/>
      <c r="F78" s="1"/>
      <c r="G78" s="1"/>
    </row>
    <row r="79" spans="1:7" x14ac:dyDescent="0.25">
      <c r="A79" s="1"/>
      <c r="B79" s="1"/>
      <c r="C79" s="1"/>
      <c r="D79" s="1"/>
      <c r="E79" s="1"/>
      <c r="F79" s="1"/>
      <c r="G79" s="1"/>
    </row>
    <row r="80" spans="1:7" x14ac:dyDescent="0.25">
      <c r="A80" s="1">
        <f>AVERAGE(A4:A77)</f>
        <v>120.27081927737628</v>
      </c>
      <c r="B80" s="1"/>
      <c r="C80" s="1"/>
      <c r="D80" s="1"/>
      <c r="E80" s="1">
        <f>SUBTOTAL(101,detection_results3__4[Column5])</f>
        <v>0.99555555555555542</v>
      </c>
      <c r="F80" s="1">
        <f>SUBTOTAL(101,detection_results3__4[Column6])</f>
        <v>0.99555555555555542</v>
      </c>
      <c r="G8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8FE38-EEBA-461C-AEEE-1A4674B83737}">
  <dimension ref="A1:G78"/>
  <sheetViews>
    <sheetView topLeftCell="A43" workbookViewId="0">
      <selection activeCell="F78" sqref="F78"/>
    </sheetView>
  </sheetViews>
  <sheetFormatPr defaultRowHeight="15" x14ac:dyDescent="0.25"/>
  <cols>
    <col min="1" max="1" width="18.85546875" bestFit="1" customWidth="1"/>
    <col min="2" max="5" width="11.42578125" bestFit="1" customWidth="1"/>
    <col min="6" max="6" width="18.85546875" bestFit="1" customWidth="1"/>
    <col min="7" max="7" width="1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>
        <v>5037.8699302673303</v>
      </c>
      <c r="B3" s="1" t="s">
        <v>14</v>
      </c>
      <c r="C3" s="1" t="s">
        <v>100</v>
      </c>
      <c r="D3" s="1" t="s">
        <v>100</v>
      </c>
      <c r="E3" s="1">
        <v>1</v>
      </c>
      <c r="F3" s="1">
        <v>1</v>
      </c>
      <c r="G3" s="1" t="s">
        <v>19</v>
      </c>
    </row>
    <row r="4" spans="1:7" x14ac:dyDescent="0.25">
      <c r="A4" s="1">
        <v>82.630872726440401</v>
      </c>
      <c r="B4" s="1" t="s">
        <v>17</v>
      </c>
      <c r="C4" s="1" t="s">
        <v>99</v>
      </c>
      <c r="D4" s="1" t="s">
        <v>100</v>
      </c>
      <c r="E4" s="1">
        <v>0.5</v>
      </c>
      <c r="F4" s="1">
        <v>0.33333333333333298</v>
      </c>
      <c r="G4" s="1" t="s">
        <v>19</v>
      </c>
    </row>
    <row r="5" spans="1:7" x14ac:dyDescent="0.25">
      <c r="A5" s="1">
        <v>86.244583129882798</v>
      </c>
      <c r="B5" s="1" t="s">
        <v>20</v>
      </c>
      <c r="C5" s="1" t="s">
        <v>101</v>
      </c>
      <c r="D5" s="1" t="s">
        <v>100</v>
      </c>
      <c r="E5" s="1">
        <v>0.5</v>
      </c>
      <c r="F5" s="1">
        <v>0.33333333333333298</v>
      </c>
      <c r="G5" s="1" t="s">
        <v>19</v>
      </c>
    </row>
    <row r="6" spans="1:7" x14ac:dyDescent="0.25">
      <c r="A6" s="1">
        <v>84.758520126342702</v>
      </c>
      <c r="B6" s="1" t="s">
        <v>21</v>
      </c>
      <c r="C6" s="1" t="s">
        <v>100</v>
      </c>
      <c r="D6" s="1" t="s">
        <v>100</v>
      </c>
      <c r="E6" s="1">
        <v>1</v>
      </c>
      <c r="F6" s="1">
        <v>1</v>
      </c>
      <c r="G6" s="1" t="s">
        <v>19</v>
      </c>
    </row>
    <row r="7" spans="1:7" x14ac:dyDescent="0.25">
      <c r="A7" s="1">
        <v>83.440542221069293</v>
      </c>
      <c r="B7" s="1" t="s">
        <v>25</v>
      </c>
      <c r="C7" s="1" t="s">
        <v>102</v>
      </c>
      <c r="D7" s="1" t="s">
        <v>100</v>
      </c>
      <c r="E7" s="1">
        <v>0.5</v>
      </c>
      <c r="F7" s="1">
        <v>0.33333333333333298</v>
      </c>
      <c r="G7" s="1" t="s">
        <v>19</v>
      </c>
    </row>
    <row r="8" spans="1:7" x14ac:dyDescent="0.25">
      <c r="A8" s="1">
        <v>85.391044616699205</v>
      </c>
      <c r="B8" s="1" t="s">
        <v>26</v>
      </c>
      <c r="C8" s="1" t="s">
        <v>100</v>
      </c>
      <c r="D8" s="1" t="s">
        <v>100</v>
      </c>
      <c r="E8" s="1">
        <v>1</v>
      </c>
      <c r="F8" s="1">
        <v>1</v>
      </c>
      <c r="G8" s="1" t="s">
        <v>19</v>
      </c>
    </row>
    <row r="9" spans="1:7" x14ac:dyDescent="0.25">
      <c r="A9" s="1">
        <v>83.366155624389606</v>
      </c>
      <c r="B9" s="1" t="s">
        <v>27</v>
      </c>
      <c r="C9" s="1" t="s">
        <v>103</v>
      </c>
      <c r="D9" s="1" t="s">
        <v>100</v>
      </c>
      <c r="E9" s="1">
        <v>0.5</v>
      </c>
      <c r="F9" s="1">
        <v>0.33333333333333298</v>
      </c>
      <c r="G9" s="1" t="s">
        <v>19</v>
      </c>
    </row>
    <row r="10" spans="1:7" x14ac:dyDescent="0.25">
      <c r="A10" s="1">
        <v>82.142114639282198</v>
      </c>
      <c r="B10" s="1" t="s">
        <v>28</v>
      </c>
      <c r="C10" s="1" t="s">
        <v>104</v>
      </c>
      <c r="D10" s="1" t="s">
        <v>100</v>
      </c>
      <c r="E10" s="1">
        <v>0.5</v>
      </c>
      <c r="F10" s="1">
        <v>0.33333333333333298</v>
      </c>
      <c r="G10" s="1" t="s">
        <v>19</v>
      </c>
    </row>
    <row r="11" spans="1:7" x14ac:dyDescent="0.25">
      <c r="A11" s="1">
        <v>84.913730621337805</v>
      </c>
      <c r="B11" s="1" t="s">
        <v>30</v>
      </c>
      <c r="C11" s="1" t="s">
        <v>99</v>
      </c>
      <c r="D11" s="1" t="s">
        <v>100</v>
      </c>
      <c r="E11" s="1">
        <v>0.5</v>
      </c>
      <c r="F11" s="1">
        <v>0.33333333333333298</v>
      </c>
      <c r="G11" s="1" t="s">
        <v>19</v>
      </c>
    </row>
    <row r="12" spans="1:7" x14ac:dyDescent="0.25">
      <c r="A12" s="1">
        <v>84.421873092651296</v>
      </c>
      <c r="B12" s="1" t="s">
        <v>31</v>
      </c>
      <c r="C12" s="1" t="s">
        <v>100</v>
      </c>
      <c r="D12" s="1" t="s">
        <v>100</v>
      </c>
      <c r="E12" s="1">
        <v>1</v>
      </c>
      <c r="F12" s="1">
        <v>1</v>
      </c>
      <c r="G12" s="1" t="s">
        <v>19</v>
      </c>
    </row>
    <row r="13" spans="1:7" x14ac:dyDescent="0.25">
      <c r="A13" s="1">
        <v>84.240913391113196</v>
      </c>
      <c r="B13" s="1" t="s">
        <v>32</v>
      </c>
      <c r="C13" s="1" t="s">
        <v>99</v>
      </c>
      <c r="D13" s="1" t="s">
        <v>100</v>
      </c>
      <c r="E13" s="1">
        <v>0.5</v>
      </c>
      <c r="F13" s="1">
        <v>0.33333333333333298</v>
      </c>
      <c r="G13" s="1" t="s">
        <v>19</v>
      </c>
    </row>
    <row r="14" spans="1:7" x14ac:dyDescent="0.25">
      <c r="A14" s="1">
        <v>82.306146621704102</v>
      </c>
      <c r="B14" s="1" t="s">
        <v>33</v>
      </c>
      <c r="C14" s="1" t="s">
        <v>99</v>
      </c>
      <c r="D14" s="1" t="s">
        <v>100</v>
      </c>
      <c r="E14" s="1">
        <v>0.5</v>
      </c>
      <c r="F14" s="1">
        <v>0.33333333333333298</v>
      </c>
      <c r="G14" s="1" t="s">
        <v>19</v>
      </c>
    </row>
    <row r="15" spans="1:7" x14ac:dyDescent="0.25">
      <c r="A15" s="1">
        <v>84.166288375854407</v>
      </c>
      <c r="B15" s="1" t="s">
        <v>34</v>
      </c>
      <c r="C15" s="1" t="s">
        <v>100</v>
      </c>
      <c r="D15" s="1" t="s">
        <v>100</v>
      </c>
      <c r="E15" s="1">
        <v>1</v>
      </c>
      <c r="F15" s="1">
        <v>1</v>
      </c>
      <c r="G15" s="1" t="s">
        <v>19</v>
      </c>
    </row>
    <row r="16" spans="1:7" x14ac:dyDescent="0.25">
      <c r="A16" s="1">
        <v>83.610534667968693</v>
      </c>
      <c r="B16" s="1" t="s">
        <v>35</v>
      </c>
      <c r="C16" s="1" t="s">
        <v>100</v>
      </c>
      <c r="D16" s="1" t="s">
        <v>100</v>
      </c>
      <c r="E16" s="1">
        <v>1</v>
      </c>
      <c r="F16" s="1">
        <v>1</v>
      </c>
      <c r="G16" s="1" t="s">
        <v>19</v>
      </c>
    </row>
    <row r="17" spans="1:7" x14ac:dyDescent="0.25">
      <c r="A17" s="1">
        <v>41.798353195190401</v>
      </c>
      <c r="B17" s="1" t="s">
        <v>36</v>
      </c>
      <c r="C17" s="1" t="s">
        <v>105</v>
      </c>
      <c r="D17" s="1" t="s">
        <v>105</v>
      </c>
      <c r="E17" s="1">
        <v>1</v>
      </c>
      <c r="F17" s="1">
        <v>1</v>
      </c>
      <c r="G17" s="1" t="s">
        <v>16</v>
      </c>
    </row>
    <row r="18" spans="1:7" x14ac:dyDescent="0.25">
      <c r="A18" s="1">
        <v>82.751750946044893</v>
      </c>
      <c r="B18" s="1" t="s">
        <v>37</v>
      </c>
      <c r="C18" s="1" t="s">
        <v>101</v>
      </c>
      <c r="D18" s="1" t="s">
        <v>100</v>
      </c>
      <c r="E18" s="1">
        <v>0.5</v>
      </c>
      <c r="F18" s="1">
        <v>0.33333333333333298</v>
      </c>
      <c r="G18" s="1" t="s">
        <v>19</v>
      </c>
    </row>
    <row r="19" spans="1:7" x14ac:dyDescent="0.25">
      <c r="A19" s="1">
        <v>87.808609008789006</v>
      </c>
      <c r="B19" s="1" t="s">
        <v>38</v>
      </c>
      <c r="C19" s="1" t="s">
        <v>100</v>
      </c>
      <c r="D19" s="1" t="s">
        <v>100</v>
      </c>
      <c r="E19" s="1">
        <v>1</v>
      </c>
      <c r="F19" s="1">
        <v>1</v>
      </c>
      <c r="G19" s="1" t="s">
        <v>19</v>
      </c>
    </row>
    <row r="20" spans="1:7" x14ac:dyDescent="0.25">
      <c r="A20" s="1">
        <v>42.567014694213803</v>
      </c>
      <c r="B20" s="1" t="s">
        <v>39</v>
      </c>
      <c r="C20" s="1" t="s">
        <v>105</v>
      </c>
      <c r="D20" s="1" t="s">
        <v>105</v>
      </c>
      <c r="E20" s="1">
        <v>1</v>
      </c>
      <c r="F20" s="1">
        <v>1</v>
      </c>
      <c r="G20" s="1" t="s">
        <v>16</v>
      </c>
    </row>
    <row r="21" spans="1:7" x14ac:dyDescent="0.25">
      <c r="A21" s="1">
        <v>84.635734558105398</v>
      </c>
      <c r="B21" s="1" t="s">
        <v>40</v>
      </c>
      <c r="C21" s="1" t="s">
        <v>100</v>
      </c>
      <c r="D21" s="1" t="s">
        <v>100</v>
      </c>
      <c r="E21" s="1">
        <v>1</v>
      </c>
      <c r="F21" s="1">
        <v>1</v>
      </c>
      <c r="G21" s="1" t="s">
        <v>19</v>
      </c>
    </row>
    <row r="22" spans="1:7" x14ac:dyDescent="0.25">
      <c r="A22" s="1">
        <v>81.533908843994098</v>
      </c>
      <c r="B22" s="1" t="s">
        <v>41</v>
      </c>
      <c r="C22" s="1" t="s">
        <v>18</v>
      </c>
      <c r="D22" s="1" t="s">
        <v>100</v>
      </c>
      <c r="E22" s="1">
        <v>0</v>
      </c>
      <c r="F22" s="1">
        <v>0</v>
      </c>
      <c r="G22" s="1" t="s">
        <v>19</v>
      </c>
    </row>
    <row r="23" spans="1:7" x14ac:dyDescent="0.25">
      <c r="A23" s="1">
        <v>86.054325103759695</v>
      </c>
      <c r="B23" s="1" t="s">
        <v>42</v>
      </c>
      <c r="C23" s="1" t="s">
        <v>99</v>
      </c>
      <c r="D23" s="1" t="s">
        <v>100</v>
      </c>
      <c r="E23" s="1">
        <v>0.5</v>
      </c>
      <c r="F23" s="1">
        <v>0.33333333333333298</v>
      </c>
      <c r="G23" s="1" t="s">
        <v>19</v>
      </c>
    </row>
    <row r="24" spans="1:7" x14ac:dyDescent="0.25">
      <c r="A24" s="1">
        <v>82.956552505493093</v>
      </c>
      <c r="B24" s="1" t="s">
        <v>43</v>
      </c>
      <c r="C24" s="1" t="s">
        <v>100</v>
      </c>
      <c r="D24" s="1" t="s">
        <v>100</v>
      </c>
      <c r="E24" s="1">
        <v>1</v>
      </c>
      <c r="F24" s="1">
        <v>1</v>
      </c>
      <c r="G24" s="1" t="s">
        <v>19</v>
      </c>
    </row>
    <row r="25" spans="1:7" x14ac:dyDescent="0.25">
      <c r="A25" s="1">
        <v>84.483146667480398</v>
      </c>
      <c r="B25" s="1" t="s">
        <v>44</v>
      </c>
      <c r="C25" s="1" t="s">
        <v>100</v>
      </c>
      <c r="D25" s="1" t="s">
        <v>100</v>
      </c>
      <c r="E25" s="1">
        <v>1</v>
      </c>
      <c r="F25" s="1">
        <v>1</v>
      </c>
      <c r="G25" s="1" t="s">
        <v>19</v>
      </c>
    </row>
    <row r="26" spans="1:7" x14ac:dyDescent="0.25">
      <c r="A26" s="1">
        <v>84.347009658813406</v>
      </c>
      <c r="B26" s="1" t="s">
        <v>45</v>
      </c>
      <c r="C26" s="1" t="s">
        <v>99</v>
      </c>
      <c r="D26" s="1" t="s">
        <v>100</v>
      </c>
      <c r="E26" s="1">
        <v>0.5</v>
      </c>
      <c r="F26" s="1">
        <v>0.33333333333333298</v>
      </c>
      <c r="G26" s="1" t="s">
        <v>19</v>
      </c>
    </row>
    <row r="27" spans="1:7" x14ac:dyDescent="0.25">
      <c r="A27" s="1">
        <v>88.381767272949205</v>
      </c>
      <c r="B27" s="1" t="s">
        <v>47</v>
      </c>
      <c r="C27" s="1" t="s">
        <v>18</v>
      </c>
      <c r="D27" s="1" t="s">
        <v>100</v>
      </c>
      <c r="E27" s="1">
        <v>0</v>
      </c>
      <c r="F27" s="1">
        <v>0</v>
      </c>
      <c r="G27" s="1" t="s">
        <v>19</v>
      </c>
    </row>
    <row r="28" spans="1:7" x14ac:dyDescent="0.25">
      <c r="A28" s="1">
        <v>81.992626190185504</v>
      </c>
      <c r="B28" s="1" t="s">
        <v>48</v>
      </c>
      <c r="C28" s="1" t="s">
        <v>99</v>
      </c>
      <c r="D28" s="1" t="s">
        <v>100</v>
      </c>
      <c r="E28" s="1">
        <v>0.5</v>
      </c>
      <c r="F28" s="1">
        <v>0.33333333333333298</v>
      </c>
      <c r="G28" s="1" t="s">
        <v>19</v>
      </c>
    </row>
    <row r="29" spans="1:7" x14ac:dyDescent="0.25">
      <c r="A29" s="1">
        <v>88.051080703735295</v>
      </c>
      <c r="B29" s="1" t="s">
        <v>49</v>
      </c>
      <c r="C29" s="1" t="s">
        <v>100</v>
      </c>
      <c r="D29" s="1" t="s">
        <v>100</v>
      </c>
      <c r="E29" s="1">
        <v>1</v>
      </c>
      <c r="F29" s="1">
        <v>1</v>
      </c>
      <c r="G29" s="1" t="s">
        <v>19</v>
      </c>
    </row>
    <row r="30" spans="1:7" x14ac:dyDescent="0.25">
      <c r="A30" s="1">
        <v>46.662092208862298</v>
      </c>
      <c r="B30" s="1" t="s">
        <v>50</v>
      </c>
      <c r="C30" s="1" t="s">
        <v>105</v>
      </c>
      <c r="D30" s="1" t="s">
        <v>105</v>
      </c>
      <c r="E30" s="1">
        <v>1</v>
      </c>
      <c r="F30" s="1">
        <v>1</v>
      </c>
      <c r="G30" s="1" t="s">
        <v>16</v>
      </c>
    </row>
    <row r="31" spans="1:7" x14ac:dyDescent="0.25">
      <c r="A31" s="1">
        <v>85.233449935913001</v>
      </c>
      <c r="B31" s="1" t="s">
        <v>51</v>
      </c>
      <c r="C31" s="1" t="s">
        <v>100</v>
      </c>
      <c r="D31" s="1" t="s">
        <v>100</v>
      </c>
      <c r="E31" s="1">
        <v>1</v>
      </c>
      <c r="F31" s="1">
        <v>1</v>
      </c>
      <c r="G31" s="1" t="s">
        <v>19</v>
      </c>
    </row>
    <row r="32" spans="1:7" x14ac:dyDescent="0.25">
      <c r="A32" s="1">
        <v>83.878993988037095</v>
      </c>
      <c r="B32" s="1" t="s">
        <v>52</v>
      </c>
      <c r="C32" s="1" t="s">
        <v>100</v>
      </c>
      <c r="D32" s="1" t="s">
        <v>100</v>
      </c>
      <c r="E32" s="1">
        <v>1</v>
      </c>
      <c r="F32" s="1">
        <v>1</v>
      </c>
      <c r="G32" s="1" t="s">
        <v>19</v>
      </c>
    </row>
    <row r="33" spans="1:7" x14ac:dyDescent="0.25">
      <c r="A33" s="1">
        <v>82.608938217163001</v>
      </c>
      <c r="B33" s="1" t="s">
        <v>53</v>
      </c>
      <c r="C33" s="1" t="s">
        <v>99</v>
      </c>
      <c r="D33" s="1" t="s">
        <v>100</v>
      </c>
      <c r="E33" s="1">
        <v>0.5</v>
      </c>
      <c r="F33" s="1">
        <v>0.33333333333333298</v>
      </c>
      <c r="G33" s="1" t="s">
        <v>19</v>
      </c>
    </row>
    <row r="34" spans="1:7" x14ac:dyDescent="0.25">
      <c r="A34" s="1">
        <v>50.113916397094698</v>
      </c>
      <c r="B34" s="1" t="s">
        <v>54</v>
      </c>
      <c r="C34" s="1" t="s">
        <v>105</v>
      </c>
      <c r="D34" s="1" t="s">
        <v>105</v>
      </c>
      <c r="E34" s="1">
        <v>1</v>
      </c>
      <c r="F34" s="1">
        <v>1</v>
      </c>
      <c r="G34" s="1" t="s">
        <v>16</v>
      </c>
    </row>
    <row r="35" spans="1:7" x14ac:dyDescent="0.25">
      <c r="A35" s="1">
        <v>82.710981369018498</v>
      </c>
      <c r="B35" s="1" t="s">
        <v>55</v>
      </c>
      <c r="C35" s="1" t="s">
        <v>101</v>
      </c>
      <c r="D35" s="1" t="s">
        <v>100</v>
      </c>
      <c r="E35" s="1">
        <v>0.5</v>
      </c>
      <c r="F35" s="1">
        <v>0.33333333333333298</v>
      </c>
      <c r="G35" s="1" t="s">
        <v>19</v>
      </c>
    </row>
    <row r="36" spans="1:7" x14ac:dyDescent="0.25">
      <c r="A36" s="1">
        <v>85.095882415771399</v>
      </c>
      <c r="B36" s="1" t="s">
        <v>56</v>
      </c>
      <c r="C36" s="1" t="s">
        <v>100</v>
      </c>
      <c r="D36" s="1" t="s">
        <v>100</v>
      </c>
      <c r="E36" s="1">
        <v>1</v>
      </c>
      <c r="F36" s="1">
        <v>1</v>
      </c>
      <c r="G36" s="1" t="s">
        <v>19</v>
      </c>
    </row>
    <row r="37" spans="1:7" x14ac:dyDescent="0.25">
      <c r="A37" s="1">
        <v>85.672855377197195</v>
      </c>
      <c r="B37" s="1" t="s">
        <v>57</v>
      </c>
      <c r="C37" s="1" t="s">
        <v>99</v>
      </c>
      <c r="D37" s="1" t="s">
        <v>100</v>
      </c>
      <c r="E37" s="1">
        <v>0.5</v>
      </c>
      <c r="F37" s="1">
        <v>0.33333333333333298</v>
      </c>
      <c r="G37" s="1" t="s">
        <v>19</v>
      </c>
    </row>
    <row r="38" spans="1:7" x14ac:dyDescent="0.25">
      <c r="A38" s="1">
        <v>82.1380615234375</v>
      </c>
      <c r="B38" s="1" t="s">
        <v>58</v>
      </c>
      <c r="C38" s="1" t="s">
        <v>18</v>
      </c>
      <c r="D38" s="1" t="s">
        <v>100</v>
      </c>
      <c r="E38" s="1">
        <v>0</v>
      </c>
      <c r="F38" s="1">
        <v>0</v>
      </c>
      <c r="G38" s="1" t="s">
        <v>19</v>
      </c>
    </row>
    <row r="39" spans="1:7" x14ac:dyDescent="0.25">
      <c r="A39" s="1">
        <v>82.643985748291001</v>
      </c>
      <c r="B39" s="1" t="s">
        <v>59</v>
      </c>
      <c r="C39" s="1" t="s">
        <v>101</v>
      </c>
      <c r="D39" s="1" t="s">
        <v>100</v>
      </c>
      <c r="E39" s="1">
        <v>0.5</v>
      </c>
      <c r="F39" s="1">
        <v>0.33333333333333298</v>
      </c>
      <c r="G39" s="1" t="s">
        <v>19</v>
      </c>
    </row>
    <row r="40" spans="1:7" x14ac:dyDescent="0.25">
      <c r="A40" s="1">
        <v>83.066701889038001</v>
      </c>
      <c r="B40" s="1" t="s">
        <v>60</v>
      </c>
      <c r="C40" s="1" t="s">
        <v>100</v>
      </c>
      <c r="D40" s="1" t="s">
        <v>100</v>
      </c>
      <c r="E40" s="1">
        <v>1</v>
      </c>
      <c r="F40" s="1">
        <v>1</v>
      </c>
      <c r="G40" s="1" t="s">
        <v>19</v>
      </c>
    </row>
    <row r="41" spans="1:7" x14ac:dyDescent="0.25">
      <c r="A41" s="1">
        <v>49.299716949462798</v>
      </c>
      <c r="B41" s="1" t="s">
        <v>61</v>
      </c>
      <c r="C41" s="1" t="s">
        <v>105</v>
      </c>
      <c r="D41" s="1" t="s">
        <v>105</v>
      </c>
      <c r="E41" s="1">
        <v>1</v>
      </c>
      <c r="F41" s="1">
        <v>1</v>
      </c>
      <c r="G41" s="1" t="s">
        <v>16</v>
      </c>
    </row>
    <row r="42" spans="1:7" x14ac:dyDescent="0.25">
      <c r="A42" s="1">
        <v>84.583282470703097</v>
      </c>
      <c r="B42" s="1" t="s">
        <v>62</v>
      </c>
      <c r="C42" s="1" t="s">
        <v>99</v>
      </c>
      <c r="D42" s="1" t="s">
        <v>100</v>
      </c>
      <c r="E42" s="1">
        <v>0.5</v>
      </c>
      <c r="F42" s="1">
        <v>0.33333333333333298</v>
      </c>
      <c r="G42" s="1" t="s">
        <v>19</v>
      </c>
    </row>
    <row r="43" spans="1:7" x14ac:dyDescent="0.25">
      <c r="A43" s="1">
        <v>48.825263977050703</v>
      </c>
      <c r="B43" s="1" t="s">
        <v>63</v>
      </c>
      <c r="C43" s="1" t="s">
        <v>15</v>
      </c>
      <c r="D43" s="1" t="s">
        <v>105</v>
      </c>
      <c r="E43" s="1">
        <v>0</v>
      </c>
      <c r="F43" s="1">
        <v>0</v>
      </c>
      <c r="G43" s="1" t="s">
        <v>16</v>
      </c>
    </row>
    <row r="44" spans="1:7" x14ac:dyDescent="0.25">
      <c r="A44" s="1">
        <v>85.347414016723604</v>
      </c>
      <c r="B44" s="1" t="s">
        <v>64</v>
      </c>
      <c r="C44" s="1" t="s">
        <v>100</v>
      </c>
      <c r="D44" s="1" t="s">
        <v>100</v>
      </c>
      <c r="E44" s="1">
        <v>1</v>
      </c>
      <c r="F44" s="1">
        <v>1</v>
      </c>
      <c r="G44" s="1" t="s">
        <v>19</v>
      </c>
    </row>
    <row r="45" spans="1:7" x14ac:dyDescent="0.25">
      <c r="A45" s="1">
        <v>89.982986450195298</v>
      </c>
      <c r="B45" s="1" t="s">
        <v>65</v>
      </c>
      <c r="C45" s="1" t="s">
        <v>99</v>
      </c>
      <c r="D45" s="1" t="s">
        <v>100</v>
      </c>
      <c r="E45" s="1">
        <v>0.5</v>
      </c>
      <c r="F45" s="1">
        <v>0.33333333333333298</v>
      </c>
      <c r="G45" s="1" t="s">
        <v>19</v>
      </c>
    </row>
    <row r="46" spans="1:7" x14ac:dyDescent="0.25">
      <c r="A46" s="1">
        <v>86.498975753784094</v>
      </c>
      <c r="B46" s="1" t="s">
        <v>66</v>
      </c>
      <c r="C46" s="1" t="s">
        <v>102</v>
      </c>
      <c r="D46" s="1" t="s">
        <v>100</v>
      </c>
      <c r="E46" s="1">
        <v>0.5</v>
      </c>
      <c r="F46" s="1">
        <v>0.33333333333333298</v>
      </c>
      <c r="G46" s="1" t="s">
        <v>19</v>
      </c>
    </row>
    <row r="47" spans="1:7" x14ac:dyDescent="0.25">
      <c r="A47" s="1">
        <v>48.995733261108398</v>
      </c>
      <c r="B47" s="1" t="s">
        <v>67</v>
      </c>
      <c r="C47" s="1" t="s">
        <v>105</v>
      </c>
      <c r="D47" s="1" t="s">
        <v>105</v>
      </c>
      <c r="E47" s="1">
        <v>1</v>
      </c>
      <c r="F47" s="1">
        <v>1</v>
      </c>
      <c r="G47" s="1" t="s">
        <v>16</v>
      </c>
    </row>
    <row r="48" spans="1:7" x14ac:dyDescent="0.25">
      <c r="A48" s="1">
        <v>81.1831951141357</v>
      </c>
      <c r="B48" s="1" t="s">
        <v>68</v>
      </c>
      <c r="C48" s="1" t="s">
        <v>101</v>
      </c>
      <c r="D48" s="1" t="s">
        <v>100</v>
      </c>
      <c r="E48" s="1">
        <v>0.5</v>
      </c>
      <c r="F48" s="1">
        <v>0.33333333333333298</v>
      </c>
      <c r="G48" s="1" t="s">
        <v>19</v>
      </c>
    </row>
    <row r="49" spans="1:7" x14ac:dyDescent="0.25">
      <c r="A49" s="1">
        <v>46.954154968261697</v>
      </c>
      <c r="B49" s="1" t="s">
        <v>69</v>
      </c>
      <c r="C49" s="1" t="s">
        <v>105</v>
      </c>
      <c r="D49" s="1" t="s">
        <v>105</v>
      </c>
      <c r="E49" s="1">
        <v>1</v>
      </c>
      <c r="F49" s="1">
        <v>1</v>
      </c>
      <c r="G49" s="1" t="s">
        <v>16</v>
      </c>
    </row>
    <row r="50" spans="1:7" x14ac:dyDescent="0.25">
      <c r="A50" s="1">
        <v>83.655595779418903</v>
      </c>
      <c r="B50" s="1" t="s">
        <v>70</v>
      </c>
      <c r="C50" s="1" t="s">
        <v>100</v>
      </c>
      <c r="D50" s="1" t="s">
        <v>100</v>
      </c>
      <c r="E50" s="1">
        <v>1</v>
      </c>
      <c r="F50" s="1">
        <v>1</v>
      </c>
      <c r="G50" s="1" t="s">
        <v>19</v>
      </c>
    </row>
    <row r="51" spans="1:7" x14ac:dyDescent="0.25">
      <c r="A51" s="1">
        <v>84.922075271606403</v>
      </c>
      <c r="B51" s="1" t="s">
        <v>71</v>
      </c>
      <c r="C51" s="1" t="s">
        <v>99</v>
      </c>
      <c r="D51" s="1" t="s">
        <v>100</v>
      </c>
      <c r="E51" s="1">
        <v>0.5</v>
      </c>
      <c r="F51" s="1">
        <v>0.33333333333333298</v>
      </c>
      <c r="G51" s="1" t="s">
        <v>19</v>
      </c>
    </row>
    <row r="52" spans="1:7" x14ac:dyDescent="0.25">
      <c r="A52" s="1">
        <v>84.689855575561495</v>
      </c>
      <c r="B52" s="1" t="s">
        <v>72</v>
      </c>
      <c r="C52" s="1" t="s">
        <v>100</v>
      </c>
      <c r="D52" s="1" t="s">
        <v>100</v>
      </c>
      <c r="E52" s="1">
        <v>1</v>
      </c>
      <c r="F52" s="1">
        <v>1</v>
      </c>
      <c r="G52" s="1" t="s">
        <v>19</v>
      </c>
    </row>
    <row r="53" spans="1:7" x14ac:dyDescent="0.25">
      <c r="A53" s="1">
        <v>82.976818084716797</v>
      </c>
      <c r="B53" s="1" t="s">
        <v>73</v>
      </c>
      <c r="C53" s="1" t="s">
        <v>99</v>
      </c>
      <c r="D53" s="1" t="s">
        <v>100</v>
      </c>
      <c r="E53" s="1">
        <v>0.5</v>
      </c>
      <c r="F53" s="1">
        <v>0.33333333333333298</v>
      </c>
      <c r="G53" s="1" t="s">
        <v>19</v>
      </c>
    </row>
    <row r="54" spans="1:7" x14ac:dyDescent="0.25">
      <c r="A54" s="1">
        <v>85.896730422973604</v>
      </c>
      <c r="B54" s="1" t="s">
        <v>74</v>
      </c>
      <c r="C54" s="1" t="s">
        <v>18</v>
      </c>
      <c r="D54" s="1" t="s">
        <v>100</v>
      </c>
      <c r="E54" s="1">
        <v>0</v>
      </c>
      <c r="F54" s="1">
        <v>0</v>
      </c>
      <c r="G54" s="1" t="s">
        <v>19</v>
      </c>
    </row>
    <row r="55" spans="1:7" x14ac:dyDescent="0.25">
      <c r="A55" s="1">
        <v>84.994792938232393</v>
      </c>
      <c r="B55" s="1" t="s">
        <v>75</v>
      </c>
      <c r="C55" s="1" t="s">
        <v>101</v>
      </c>
      <c r="D55" s="1" t="s">
        <v>100</v>
      </c>
      <c r="E55" s="1">
        <v>0.5</v>
      </c>
      <c r="F55" s="1">
        <v>0.33333333333333298</v>
      </c>
      <c r="G55" s="1" t="s">
        <v>19</v>
      </c>
    </row>
    <row r="56" spans="1:7" x14ac:dyDescent="0.25">
      <c r="A56" s="1">
        <v>84.156990051269503</v>
      </c>
      <c r="B56" s="1" t="s">
        <v>76</v>
      </c>
      <c r="C56" s="1" t="s">
        <v>100</v>
      </c>
      <c r="D56" s="1" t="s">
        <v>100</v>
      </c>
      <c r="E56" s="1">
        <v>1</v>
      </c>
      <c r="F56" s="1">
        <v>1</v>
      </c>
      <c r="G56" s="1" t="s">
        <v>19</v>
      </c>
    </row>
    <row r="57" spans="1:7" x14ac:dyDescent="0.25">
      <c r="A57" s="1">
        <v>88.220596313476506</v>
      </c>
      <c r="B57" s="1" t="s">
        <v>77</v>
      </c>
      <c r="C57" s="1" t="s">
        <v>100</v>
      </c>
      <c r="D57" s="1" t="s">
        <v>100</v>
      </c>
      <c r="E57" s="1">
        <v>1</v>
      </c>
      <c r="F57" s="1">
        <v>1</v>
      </c>
      <c r="G57" s="1" t="s">
        <v>19</v>
      </c>
    </row>
    <row r="58" spans="1:7" x14ac:dyDescent="0.25">
      <c r="A58" s="1">
        <v>46.211481094360302</v>
      </c>
      <c r="B58" s="1" t="s">
        <v>78</v>
      </c>
      <c r="C58" s="1" t="s">
        <v>15</v>
      </c>
      <c r="D58" s="1" t="s">
        <v>105</v>
      </c>
      <c r="E58" s="1">
        <v>0</v>
      </c>
      <c r="F58" s="1">
        <v>0</v>
      </c>
      <c r="G58" s="1" t="s">
        <v>16</v>
      </c>
    </row>
    <row r="59" spans="1:7" x14ac:dyDescent="0.25">
      <c r="A59" s="1">
        <v>84.857940673828097</v>
      </c>
      <c r="B59" s="1" t="s">
        <v>79</v>
      </c>
      <c r="C59" s="1" t="s">
        <v>100</v>
      </c>
      <c r="D59" s="1" t="s">
        <v>100</v>
      </c>
      <c r="E59" s="1">
        <v>1</v>
      </c>
      <c r="F59" s="1">
        <v>1</v>
      </c>
      <c r="G59" s="1" t="s">
        <v>19</v>
      </c>
    </row>
    <row r="60" spans="1:7" x14ac:dyDescent="0.25">
      <c r="A60" s="1">
        <v>81.046819686889606</v>
      </c>
      <c r="B60" s="1" t="s">
        <v>80</v>
      </c>
      <c r="C60" s="1" t="s">
        <v>101</v>
      </c>
      <c r="D60" s="1" t="s">
        <v>100</v>
      </c>
      <c r="E60" s="1">
        <v>0.5</v>
      </c>
      <c r="F60" s="1">
        <v>0.33333333333333298</v>
      </c>
      <c r="G60" s="1" t="s">
        <v>19</v>
      </c>
    </row>
    <row r="61" spans="1:7" x14ac:dyDescent="0.25">
      <c r="A61" s="1">
        <v>83.463668823242102</v>
      </c>
      <c r="B61" s="1" t="s">
        <v>81</v>
      </c>
      <c r="C61" s="1" t="s">
        <v>99</v>
      </c>
      <c r="D61" s="1" t="s">
        <v>100</v>
      </c>
      <c r="E61" s="1">
        <v>0.5</v>
      </c>
      <c r="F61" s="1">
        <v>0.33333333333333298</v>
      </c>
      <c r="G61" s="1" t="s">
        <v>19</v>
      </c>
    </row>
    <row r="62" spans="1:7" x14ac:dyDescent="0.25">
      <c r="A62" s="1">
        <v>90.995550155639606</v>
      </c>
      <c r="B62" s="1" t="s">
        <v>82</v>
      </c>
      <c r="C62" s="1" t="s">
        <v>100</v>
      </c>
      <c r="D62" s="1" t="s">
        <v>100</v>
      </c>
      <c r="E62" s="1">
        <v>1</v>
      </c>
      <c r="F62" s="1">
        <v>1</v>
      </c>
      <c r="G62" s="1" t="s">
        <v>19</v>
      </c>
    </row>
    <row r="63" spans="1:7" x14ac:dyDescent="0.25">
      <c r="A63" s="1">
        <v>84.581375122070298</v>
      </c>
      <c r="B63" s="1" t="s">
        <v>83</v>
      </c>
      <c r="C63" s="1" t="s">
        <v>99</v>
      </c>
      <c r="D63" s="1" t="s">
        <v>100</v>
      </c>
      <c r="E63" s="1">
        <v>0.5</v>
      </c>
      <c r="F63" s="1">
        <v>0.33333333333333298</v>
      </c>
      <c r="G63" s="1" t="s">
        <v>19</v>
      </c>
    </row>
    <row r="64" spans="1:7" x14ac:dyDescent="0.25">
      <c r="A64" s="1">
        <v>84.498882293701101</v>
      </c>
      <c r="B64" s="1" t="s">
        <v>84</v>
      </c>
      <c r="C64" s="1" t="s">
        <v>101</v>
      </c>
      <c r="D64" s="1" t="s">
        <v>100</v>
      </c>
      <c r="E64" s="1">
        <v>0.5</v>
      </c>
      <c r="F64" s="1">
        <v>0.33333333333333298</v>
      </c>
      <c r="G64" s="1" t="s">
        <v>19</v>
      </c>
    </row>
    <row r="65" spans="1:7" x14ac:dyDescent="0.25">
      <c r="A65" s="1">
        <v>80.929756164550696</v>
      </c>
      <c r="B65" s="1" t="s">
        <v>85</v>
      </c>
      <c r="C65" s="1" t="s">
        <v>18</v>
      </c>
      <c r="D65" s="1" t="s">
        <v>100</v>
      </c>
      <c r="E65" s="1">
        <v>0</v>
      </c>
      <c r="F65" s="1">
        <v>0</v>
      </c>
      <c r="G65" s="1" t="s">
        <v>19</v>
      </c>
    </row>
    <row r="66" spans="1:7" x14ac:dyDescent="0.25">
      <c r="A66" s="1">
        <v>85.692167282104407</v>
      </c>
      <c r="B66" s="1" t="s">
        <v>86</v>
      </c>
      <c r="C66" s="1" t="s">
        <v>99</v>
      </c>
      <c r="D66" s="1" t="s">
        <v>100</v>
      </c>
      <c r="E66" s="1">
        <v>0.5</v>
      </c>
      <c r="F66" s="1">
        <v>0.33333333333333298</v>
      </c>
      <c r="G66" s="1" t="s">
        <v>19</v>
      </c>
    </row>
    <row r="67" spans="1:7" x14ac:dyDescent="0.25">
      <c r="A67" s="1">
        <v>85.647106170654297</v>
      </c>
      <c r="B67" s="1" t="s">
        <v>87</v>
      </c>
      <c r="C67" s="1" t="s">
        <v>102</v>
      </c>
      <c r="D67" s="1" t="s">
        <v>100</v>
      </c>
      <c r="E67" s="1">
        <v>0.5</v>
      </c>
      <c r="F67" s="1">
        <v>0.33333333333333298</v>
      </c>
      <c r="G67" s="1" t="s">
        <v>19</v>
      </c>
    </row>
    <row r="68" spans="1:7" x14ac:dyDescent="0.25">
      <c r="A68" s="1">
        <v>85.5712890625</v>
      </c>
      <c r="B68" s="1" t="s">
        <v>88</v>
      </c>
      <c r="C68" s="1" t="s">
        <v>100</v>
      </c>
      <c r="D68" s="1" t="s">
        <v>100</v>
      </c>
      <c r="E68" s="1">
        <v>1</v>
      </c>
      <c r="F68" s="1">
        <v>1</v>
      </c>
      <c r="G68" s="1" t="s">
        <v>19</v>
      </c>
    </row>
    <row r="69" spans="1:7" x14ac:dyDescent="0.25">
      <c r="A69" s="1">
        <v>84.615945816039996</v>
      </c>
      <c r="B69" s="1" t="s">
        <v>89</v>
      </c>
      <c r="C69" s="1" t="s">
        <v>99</v>
      </c>
      <c r="D69" s="1" t="s">
        <v>100</v>
      </c>
      <c r="E69" s="1">
        <v>0.5</v>
      </c>
      <c r="F69" s="1">
        <v>0.33333333333333298</v>
      </c>
      <c r="G69" s="1" t="s">
        <v>19</v>
      </c>
    </row>
    <row r="70" spans="1:7" x14ac:dyDescent="0.25">
      <c r="A70" s="1">
        <v>86.454391479492102</v>
      </c>
      <c r="B70" s="1" t="s">
        <v>90</v>
      </c>
      <c r="C70" s="1" t="s">
        <v>100</v>
      </c>
      <c r="D70" s="1" t="s">
        <v>100</v>
      </c>
      <c r="E70" s="1">
        <v>1</v>
      </c>
      <c r="F70" s="1">
        <v>1</v>
      </c>
      <c r="G70" s="1" t="s">
        <v>19</v>
      </c>
    </row>
    <row r="71" spans="1:7" x14ac:dyDescent="0.25">
      <c r="A71" s="1">
        <v>80.528020858764606</v>
      </c>
      <c r="B71" s="1" t="s">
        <v>92</v>
      </c>
      <c r="C71" s="1" t="s">
        <v>18</v>
      </c>
      <c r="D71" s="1" t="s">
        <v>100</v>
      </c>
      <c r="E71" s="1">
        <v>0</v>
      </c>
      <c r="F71" s="1">
        <v>0</v>
      </c>
      <c r="G71" s="1" t="s">
        <v>19</v>
      </c>
    </row>
    <row r="72" spans="1:7" x14ac:dyDescent="0.25">
      <c r="A72" s="1">
        <v>87.9428386688232</v>
      </c>
      <c r="B72" s="1" t="s">
        <v>93</v>
      </c>
      <c r="C72" s="1" t="s">
        <v>99</v>
      </c>
      <c r="D72" s="1" t="s">
        <v>100</v>
      </c>
      <c r="E72" s="1">
        <v>0.5</v>
      </c>
      <c r="F72" s="1">
        <v>0.33333333333333298</v>
      </c>
      <c r="G72" s="1" t="s">
        <v>19</v>
      </c>
    </row>
    <row r="73" spans="1:7" x14ac:dyDescent="0.25">
      <c r="A73" s="1">
        <v>86.483716964721594</v>
      </c>
      <c r="B73" s="1" t="s">
        <v>94</v>
      </c>
      <c r="C73" s="1" t="s">
        <v>99</v>
      </c>
      <c r="D73" s="1" t="s">
        <v>100</v>
      </c>
      <c r="E73" s="1">
        <v>0.5</v>
      </c>
      <c r="F73" s="1">
        <v>0.33333333333333298</v>
      </c>
      <c r="G73" s="1" t="s">
        <v>19</v>
      </c>
    </row>
    <row r="74" spans="1:7" x14ac:dyDescent="0.25">
      <c r="A74" s="1">
        <v>86.958885192871094</v>
      </c>
      <c r="B74" s="1" t="s">
        <v>95</v>
      </c>
      <c r="C74" s="1" t="s">
        <v>100</v>
      </c>
      <c r="D74" s="1" t="s">
        <v>100</v>
      </c>
      <c r="E74" s="1">
        <v>1</v>
      </c>
      <c r="F74" s="1">
        <v>1</v>
      </c>
      <c r="G74" s="1" t="s">
        <v>19</v>
      </c>
    </row>
    <row r="75" spans="1:7" x14ac:dyDescent="0.25">
      <c r="A75" s="1">
        <v>88.396787643432603</v>
      </c>
      <c r="B75" s="1" t="s">
        <v>96</v>
      </c>
      <c r="C75" s="1" t="s">
        <v>102</v>
      </c>
      <c r="D75" s="1" t="s">
        <v>100</v>
      </c>
      <c r="E75" s="1">
        <v>0.5</v>
      </c>
      <c r="F75" s="1">
        <v>0.33333333333333298</v>
      </c>
      <c r="G75" s="1" t="s">
        <v>19</v>
      </c>
    </row>
    <row r="76" spans="1:7" x14ac:dyDescent="0.25">
      <c r="A76" s="1">
        <v>83.192348480224595</v>
      </c>
      <c r="B76" s="1" t="s">
        <v>97</v>
      </c>
      <c r="C76" s="1" t="s">
        <v>104</v>
      </c>
      <c r="D76" s="1" t="s">
        <v>100</v>
      </c>
      <c r="E76" s="1">
        <v>0.5</v>
      </c>
      <c r="F76" s="1">
        <v>0.33333333333333298</v>
      </c>
      <c r="G76" s="1" t="s">
        <v>19</v>
      </c>
    </row>
    <row r="77" spans="1:7" x14ac:dyDescent="0.25">
      <c r="A77" s="1">
        <v>84.767580032348604</v>
      </c>
      <c r="B77" s="1" t="s">
        <v>98</v>
      </c>
      <c r="C77" s="1" t="s">
        <v>100</v>
      </c>
      <c r="D77" s="1" t="s">
        <v>100</v>
      </c>
      <c r="E77" s="1">
        <v>1</v>
      </c>
      <c r="F77" s="1">
        <v>1</v>
      </c>
      <c r="G77" s="1" t="s">
        <v>19</v>
      </c>
    </row>
    <row r="78" spans="1:7" x14ac:dyDescent="0.25">
      <c r="A78" s="1">
        <f>AVERAGE(A4:A77)</f>
        <v>80.038402531598052</v>
      </c>
      <c r="B78" s="1"/>
      <c r="C78" s="1"/>
      <c r="D78" s="1"/>
      <c r="E78" s="1">
        <f>SUBTOTAL(101,detection_results3__3[Column5])</f>
        <v>0.66666666666666663</v>
      </c>
      <c r="F78" s="1">
        <f>SUBTOTAL(101,detection_results3__3[Column6])</f>
        <v>0.59111111111111125</v>
      </c>
      <c r="G78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DE88-99A7-429F-90F9-A2B242CB8F0A}">
  <dimension ref="A1:G80"/>
  <sheetViews>
    <sheetView topLeftCell="A61" workbookViewId="0">
      <selection activeCell="F80" sqref="F80"/>
    </sheetView>
  </sheetViews>
  <sheetFormatPr defaultRowHeight="15" x14ac:dyDescent="0.25"/>
  <cols>
    <col min="1" max="1" width="18.85546875" bestFit="1" customWidth="1"/>
    <col min="2" max="5" width="11.42578125" bestFit="1" customWidth="1"/>
    <col min="6" max="6" width="18.85546875" bestFit="1" customWidth="1"/>
    <col min="7" max="7" width="1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>
        <v>5178.0285835266104</v>
      </c>
      <c r="B3" s="1" t="s">
        <v>14</v>
      </c>
      <c r="C3" s="1" t="s">
        <v>18</v>
      </c>
      <c r="D3" s="1" t="s">
        <v>18</v>
      </c>
      <c r="E3" s="1">
        <v>1</v>
      </c>
      <c r="F3" s="1">
        <v>1</v>
      </c>
      <c r="G3" s="1" t="s">
        <v>19</v>
      </c>
    </row>
    <row r="4" spans="1:7" x14ac:dyDescent="0.25">
      <c r="A4" s="1">
        <v>83.918571472167898</v>
      </c>
      <c r="B4" s="1" t="s">
        <v>17</v>
      </c>
      <c r="C4" s="1" t="s">
        <v>18</v>
      </c>
      <c r="D4" s="1" t="s">
        <v>18</v>
      </c>
      <c r="E4" s="1">
        <v>1</v>
      </c>
      <c r="F4" s="1">
        <v>1</v>
      </c>
      <c r="G4" s="1" t="s">
        <v>19</v>
      </c>
    </row>
    <row r="5" spans="1:7" x14ac:dyDescent="0.25">
      <c r="A5" s="1">
        <v>81.264495849609304</v>
      </c>
      <c r="B5" s="1" t="s">
        <v>20</v>
      </c>
      <c r="C5" s="1" t="s">
        <v>18</v>
      </c>
      <c r="D5" s="1" t="s">
        <v>18</v>
      </c>
      <c r="E5" s="1">
        <v>1</v>
      </c>
      <c r="F5" s="1">
        <v>1</v>
      </c>
      <c r="G5" s="1" t="s">
        <v>19</v>
      </c>
    </row>
    <row r="6" spans="1:7" x14ac:dyDescent="0.25">
      <c r="A6" s="1">
        <v>85.371732711791907</v>
      </c>
      <c r="B6" s="1" t="s">
        <v>21</v>
      </c>
      <c r="C6" s="1" t="s">
        <v>18</v>
      </c>
      <c r="D6" s="1" t="s">
        <v>18</v>
      </c>
      <c r="E6" s="1">
        <v>1</v>
      </c>
      <c r="F6" s="1">
        <v>1</v>
      </c>
      <c r="G6" s="1" t="s">
        <v>19</v>
      </c>
    </row>
    <row r="7" spans="1:7" x14ac:dyDescent="0.25">
      <c r="A7" s="1">
        <v>81.857919692993093</v>
      </c>
      <c r="B7" s="1" t="s">
        <v>25</v>
      </c>
      <c r="C7" s="1" t="s">
        <v>18</v>
      </c>
      <c r="D7" s="1" t="s">
        <v>18</v>
      </c>
      <c r="E7" s="1">
        <v>1</v>
      </c>
      <c r="F7" s="1">
        <v>1</v>
      </c>
      <c r="G7" s="1" t="s">
        <v>19</v>
      </c>
    </row>
    <row r="8" spans="1:7" x14ac:dyDescent="0.25">
      <c r="A8" s="1">
        <v>81.696748733520494</v>
      </c>
      <c r="B8" s="1" t="s">
        <v>26</v>
      </c>
      <c r="C8" s="1" t="s">
        <v>18</v>
      </c>
      <c r="D8" s="1" t="s">
        <v>18</v>
      </c>
      <c r="E8" s="1">
        <v>1</v>
      </c>
      <c r="F8" s="1">
        <v>1</v>
      </c>
      <c r="G8" s="1" t="s">
        <v>19</v>
      </c>
    </row>
    <row r="9" spans="1:7" x14ac:dyDescent="0.25">
      <c r="A9" s="1">
        <v>81.536293029785099</v>
      </c>
      <c r="B9" s="1" t="s">
        <v>27</v>
      </c>
      <c r="C9" s="1" t="s">
        <v>18</v>
      </c>
      <c r="D9" s="1" t="s">
        <v>18</v>
      </c>
      <c r="E9" s="1">
        <v>1</v>
      </c>
      <c r="F9" s="1">
        <v>1</v>
      </c>
      <c r="G9" s="1" t="s">
        <v>19</v>
      </c>
    </row>
    <row r="10" spans="1:7" x14ac:dyDescent="0.25">
      <c r="A10" s="1">
        <v>81.487417221069293</v>
      </c>
      <c r="B10" s="1" t="s">
        <v>28</v>
      </c>
      <c r="C10" s="1" t="s">
        <v>18</v>
      </c>
      <c r="D10" s="1" t="s">
        <v>18</v>
      </c>
      <c r="E10" s="1">
        <v>1</v>
      </c>
      <c r="F10" s="1">
        <v>1</v>
      </c>
      <c r="G10" s="1" t="s">
        <v>19</v>
      </c>
    </row>
    <row r="11" spans="1:7" x14ac:dyDescent="0.25">
      <c r="A11" s="1">
        <v>82.078933715820298</v>
      </c>
      <c r="B11" s="1" t="s">
        <v>30</v>
      </c>
      <c r="C11" s="1" t="s">
        <v>18</v>
      </c>
      <c r="D11" s="1" t="s">
        <v>18</v>
      </c>
      <c r="E11" s="1">
        <v>1</v>
      </c>
      <c r="F11" s="1">
        <v>1</v>
      </c>
      <c r="G11" s="1" t="s">
        <v>19</v>
      </c>
    </row>
    <row r="12" spans="1:7" x14ac:dyDescent="0.25">
      <c r="A12" s="1">
        <v>123.51417541503901</v>
      </c>
      <c r="B12" s="1" t="s">
        <v>31</v>
      </c>
      <c r="C12" s="1" t="s">
        <v>23</v>
      </c>
      <c r="D12" s="1" t="s">
        <v>23</v>
      </c>
      <c r="E12" s="1">
        <v>1</v>
      </c>
      <c r="F12" s="1">
        <v>1</v>
      </c>
      <c r="G12" s="1" t="s">
        <v>24</v>
      </c>
    </row>
    <row r="13" spans="1:7" x14ac:dyDescent="0.25">
      <c r="A13" s="1">
        <v>81.519126892089801</v>
      </c>
      <c r="B13" s="1" t="s">
        <v>32</v>
      </c>
      <c r="C13" s="1" t="s">
        <v>18</v>
      </c>
      <c r="D13" s="1" t="s">
        <v>18</v>
      </c>
      <c r="E13" s="1">
        <v>1</v>
      </c>
      <c r="F13" s="1">
        <v>1</v>
      </c>
      <c r="G13" s="1" t="s">
        <v>19</v>
      </c>
    </row>
    <row r="14" spans="1:7" x14ac:dyDescent="0.25">
      <c r="A14" s="1">
        <v>82.705974578857393</v>
      </c>
      <c r="B14" s="1" t="s">
        <v>33</v>
      </c>
      <c r="C14" s="1" t="s">
        <v>18</v>
      </c>
      <c r="D14" s="1" t="s">
        <v>18</v>
      </c>
      <c r="E14" s="1">
        <v>1</v>
      </c>
      <c r="F14" s="1">
        <v>1</v>
      </c>
      <c r="G14" s="1" t="s">
        <v>19</v>
      </c>
    </row>
    <row r="15" spans="1:7" x14ac:dyDescent="0.25">
      <c r="A15" s="1">
        <v>84.012031555175696</v>
      </c>
      <c r="B15" s="1" t="s">
        <v>34</v>
      </c>
      <c r="C15" s="1" t="s">
        <v>18</v>
      </c>
      <c r="D15" s="1" t="s">
        <v>18</v>
      </c>
      <c r="E15" s="1">
        <v>1</v>
      </c>
      <c r="F15" s="1">
        <v>1</v>
      </c>
      <c r="G15" s="1" t="s">
        <v>19</v>
      </c>
    </row>
    <row r="16" spans="1:7" x14ac:dyDescent="0.25">
      <c r="A16" s="1">
        <v>44.344902038574197</v>
      </c>
      <c r="B16" s="1" t="s">
        <v>35</v>
      </c>
      <c r="C16" s="1" t="s">
        <v>15</v>
      </c>
      <c r="D16" s="1" t="s">
        <v>15</v>
      </c>
      <c r="E16" s="1">
        <v>1</v>
      </c>
      <c r="F16" s="1">
        <v>1</v>
      </c>
      <c r="G16" s="1" t="s">
        <v>16</v>
      </c>
    </row>
    <row r="17" spans="1:7" x14ac:dyDescent="0.25">
      <c r="A17" s="1">
        <v>85.135698318481403</v>
      </c>
      <c r="B17" s="1" t="s">
        <v>36</v>
      </c>
      <c r="C17" s="1" t="s">
        <v>18</v>
      </c>
      <c r="D17" s="1" t="s">
        <v>18</v>
      </c>
      <c r="E17" s="1">
        <v>1</v>
      </c>
      <c r="F17" s="1">
        <v>1</v>
      </c>
      <c r="G17" s="1" t="s">
        <v>19</v>
      </c>
    </row>
    <row r="18" spans="1:7" x14ac:dyDescent="0.25">
      <c r="A18" s="1">
        <v>82.019805908203097</v>
      </c>
      <c r="B18" s="1" t="s">
        <v>37</v>
      </c>
      <c r="C18" s="1" t="s">
        <v>18</v>
      </c>
      <c r="D18" s="1" t="s">
        <v>18</v>
      </c>
      <c r="E18" s="1">
        <v>1</v>
      </c>
      <c r="F18" s="1">
        <v>1</v>
      </c>
      <c r="G18" s="1" t="s">
        <v>19</v>
      </c>
    </row>
    <row r="19" spans="1:7" x14ac:dyDescent="0.25">
      <c r="A19" s="1">
        <v>81.728935241699205</v>
      </c>
      <c r="B19" s="1" t="s">
        <v>38</v>
      </c>
      <c r="C19" s="1" t="s">
        <v>18</v>
      </c>
      <c r="D19" s="1" t="s">
        <v>18</v>
      </c>
      <c r="E19" s="1">
        <v>1</v>
      </c>
      <c r="F19" s="1">
        <v>1</v>
      </c>
      <c r="G19" s="1" t="s">
        <v>19</v>
      </c>
    </row>
    <row r="20" spans="1:7" x14ac:dyDescent="0.25">
      <c r="A20" s="1">
        <v>81.826210021972599</v>
      </c>
      <c r="B20" s="1" t="s">
        <v>39</v>
      </c>
      <c r="C20" s="1" t="s">
        <v>18</v>
      </c>
      <c r="D20" s="1" t="s">
        <v>18</v>
      </c>
      <c r="E20" s="1">
        <v>1</v>
      </c>
      <c r="F20" s="1">
        <v>1</v>
      </c>
      <c r="G20" s="1" t="s">
        <v>19</v>
      </c>
    </row>
    <row r="21" spans="1:7" x14ac:dyDescent="0.25">
      <c r="A21" s="1">
        <v>82.562923431396399</v>
      </c>
      <c r="B21" s="1" t="s">
        <v>40</v>
      </c>
      <c r="C21" s="1" t="s">
        <v>18</v>
      </c>
      <c r="D21" s="1" t="s">
        <v>18</v>
      </c>
      <c r="E21" s="1">
        <v>1</v>
      </c>
      <c r="F21" s="1">
        <v>1</v>
      </c>
      <c r="G21" s="1" t="s">
        <v>19</v>
      </c>
    </row>
    <row r="22" spans="1:7" x14ac:dyDescent="0.25">
      <c r="A22" s="1">
        <v>82.551956176757798</v>
      </c>
      <c r="B22" s="1" t="s">
        <v>41</v>
      </c>
      <c r="C22" s="1" t="s">
        <v>18</v>
      </c>
      <c r="D22" s="1" t="s">
        <v>18</v>
      </c>
      <c r="E22" s="1">
        <v>1</v>
      </c>
      <c r="F22" s="1">
        <v>1</v>
      </c>
      <c r="G22" s="1" t="s">
        <v>19</v>
      </c>
    </row>
    <row r="23" spans="1:7" x14ac:dyDescent="0.25">
      <c r="A23" s="1">
        <v>81.668615341186495</v>
      </c>
      <c r="B23" s="1" t="s">
        <v>42</v>
      </c>
      <c r="C23" s="1" t="s">
        <v>18</v>
      </c>
      <c r="D23" s="1" t="s">
        <v>18</v>
      </c>
      <c r="E23" s="1">
        <v>1</v>
      </c>
      <c r="F23" s="1">
        <v>1</v>
      </c>
      <c r="G23" s="1" t="s">
        <v>19</v>
      </c>
    </row>
    <row r="24" spans="1:7" x14ac:dyDescent="0.25">
      <c r="A24" s="1">
        <v>81.386089324951101</v>
      </c>
      <c r="B24" s="1" t="s">
        <v>43</v>
      </c>
      <c r="C24" s="1" t="s">
        <v>18</v>
      </c>
      <c r="D24" s="1" t="s">
        <v>18</v>
      </c>
      <c r="E24" s="1">
        <v>1</v>
      </c>
      <c r="F24" s="1">
        <v>1</v>
      </c>
      <c r="G24" s="1" t="s">
        <v>19</v>
      </c>
    </row>
    <row r="25" spans="1:7" x14ac:dyDescent="0.25">
      <c r="A25" s="1">
        <v>81.014871597289996</v>
      </c>
      <c r="B25" s="1" t="s">
        <v>44</v>
      </c>
      <c r="C25" s="1" t="s">
        <v>18</v>
      </c>
      <c r="D25" s="1" t="s">
        <v>18</v>
      </c>
      <c r="E25" s="1">
        <v>1</v>
      </c>
      <c r="F25" s="1">
        <v>1</v>
      </c>
      <c r="G25" s="1" t="s">
        <v>19</v>
      </c>
    </row>
    <row r="26" spans="1:7" x14ac:dyDescent="0.25">
      <c r="A26" s="1">
        <v>80.720186233520494</v>
      </c>
      <c r="B26" s="1" t="s">
        <v>45</v>
      </c>
      <c r="C26" s="1" t="s">
        <v>91</v>
      </c>
      <c r="D26" s="1" t="s">
        <v>18</v>
      </c>
      <c r="E26" s="1">
        <v>0.5</v>
      </c>
      <c r="F26" s="1">
        <v>0.33333333333333298</v>
      </c>
      <c r="G26" s="1" t="s">
        <v>19</v>
      </c>
    </row>
    <row r="27" spans="1:7" x14ac:dyDescent="0.25">
      <c r="A27" s="1">
        <v>83.102703094482393</v>
      </c>
      <c r="B27" s="1" t="s">
        <v>47</v>
      </c>
      <c r="C27" s="1" t="s">
        <v>18</v>
      </c>
      <c r="D27" s="1" t="s">
        <v>18</v>
      </c>
      <c r="E27" s="1">
        <v>1</v>
      </c>
      <c r="F27" s="1">
        <v>1</v>
      </c>
      <c r="G27" s="1" t="s">
        <v>19</v>
      </c>
    </row>
    <row r="28" spans="1:7" x14ac:dyDescent="0.25">
      <c r="A28" s="1">
        <v>81.553697586059499</v>
      </c>
      <c r="B28" s="1" t="s">
        <v>48</v>
      </c>
      <c r="C28" s="1" t="s">
        <v>18</v>
      </c>
      <c r="D28" s="1" t="s">
        <v>18</v>
      </c>
      <c r="E28" s="1">
        <v>1</v>
      </c>
      <c r="F28" s="1">
        <v>1</v>
      </c>
      <c r="G28" s="1" t="s">
        <v>19</v>
      </c>
    </row>
    <row r="29" spans="1:7" x14ac:dyDescent="0.25">
      <c r="A29" s="1">
        <v>85.497379302978501</v>
      </c>
      <c r="B29" s="1" t="s">
        <v>49</v>
      </c>
      <c r="C29" s="1" t="s">
        <v>18</v>
      </c>
      <c r="D29" s="1" t="s">
        <v>18</v>
      </c>
      <c r="E29" s="1">
        <v>1</v>
      </c>
      <c r="F29" s="1">
        <v>1</v>
      </c>
      <c r="G29" s="1" t="s">
        <v>19</v>
      </c>
    </row>
    <row r="30" spans="1:7" x14ac:dyDescent="0.25">
      <c r="A30" s="1">
        <v>84.083557128906193</v>
      </c>
      <c r="B30" s="1" t="s">
        <v>50</v>
      </c>
      <c r="C30" s="1" t="s">
        <v>18</v>
      </c>
      <c r="D30" s="1" t="s">
        <v>18</v>
      </c>
      <c r="E30" s="1">
        <v>1</v>
      </c>
      <c r="F30" s="1">
        <v>1</v>
      </c>
      <c r="G30" s="1" t="s">
        <v>19</v>
      </c>
    </row>
    <row r="31" spans="1:7" x14ac:dyDescent="0.25">
      <c r="A31" s="1">
        <v>81.156253814697195</v>
      </c>
      <c r="B31" s="1" t="s">
        <v>51</v>
      </c>
      <c r="C31" s="1" t="s">
        <v>18</v>
      </c>
      <c r="D31" s="1" t="s">
        <v>18</v>
      </c>
      <c r="E31" s="1">
        <v>1</v>
      </c>
      <c r="F31" s="1">
        <v>1</v>
      </c>
      <c r="G31" s="1" t="s">
        <v>19</v>
      </c>
    </row>
    <row r="32" spans="1:7" x14ac:dyDescent="0.25">
      <c r="A32" s="1">
        <v>85.030555725097599</v>
      </c>
      <c r="B32" s="1" t="s">
        <v>52</v>
      </c>
      <c r="C32" s="1" t="s">
        <v>18</v>
      </c>
      <c r="D32" s="1" t="s">
        <v>18</v>
      </c>
      <c r="E32" s="1">
        <v>1</v>
      </c>
      <c r="F32" s="1">
        <v>1</v>
      </c>
      <c r="G32" s="1" t="s">
        <v>19</v>
      </c>
    </row>
    <row r="33" spans="1:7" x14ac:dyDescent="0.25">
      <c r="A33" s="1">
        <v>82.942008972167898</v>
      </c>
      <c r="B33" s="1" t="s">
        <v>53</v>
      </c>
      <c r="C33" s="1" t="s">
        <v>18</v>
      </c>
      <c r="D33" s="1" t="s">
        <v>18</v>
      </c>
      <c r="E33" s="1">
        <v>1</v>
      </c>
      <c r="F33" s="1">
        <v>1</v>
      </c>
      <c r="G33" s="1" t="s">
        <v>19</v>
      </c>
    </row>
    <row r="34" spans="1:7" x14ac:dyDescent="0.25">
      <c r="A34" s="1">
        <v>85.654497146606403</v>
      </c>
      <c r="B34" s="1" t="s">
        <v>54</v>
      </c>
      <c r="C34" s="1" t="s">
        <v>18</v>
      </c>
      <c r="D34" s="1" t="s">
        <v>18</v>
      </c>
      <c r="E34" s="1">
        <v>1</v>
      </c>
      <c r="F34" s="1">
        <v>1</v>
      </c>
      <c r="G34" s="1" t="s">
        <v>19</v>
      </c>
    </row>
    <row r="35" spans="1:7" x14ac:dyDescent="0.25">
      <c r="A35" s="1">
        <v>44.573307037353501</v>
      </c>
      <c r="B35" s="1" t="s">
        <v>55</v>
      </c>
      <c r="C35" s="1" t="s">
        <v>15</v>
      </c>
      <c r="D35" s="1" t="s">
        <v>15</v>
      </c>
      <c r="E35" s="1">
        <v>1</v>
      </c>
      <c r="F35" s="1">
        <v>1</v>
      </c>
      <c r="G35" s="1" t="s">
        <v>16</v>
      </c>
    </row>
    <row r="36" spans="1:7" x14ac:dyDescent="0.25">
      <c r="A36" s="1">
        <v>81.414222717285099</v>
      </c>
      <c r="B36" s="1" t="s">
        <v>56</v>
      </c>
      <c r="C36" s="1" t="s">
        <v>18</v>
      </c>
      <c r="D36" s="1" t="s">
        <v>18</v>
      </c>
      <c r="E36" s="1">
        <v>1</v>
      </c>
      <c r="F36" s="1">
        <v>1</v>
      </c>
      <c r="G36" s="1" t="s">
        <v>19</v>
      </c>
    </row>
    <row r="37" spans="1:7" x14ac:dyDescent="0.25">
      <c r="A37" s="1">
        <v>87.152242660522404</v>
      </c>
      <c r="B37" s="1" t="s">
        <v>57</v>
      </c>
      <c r="C37" s="1" t="s">
        <v>18</v>
      </c>
      <c r="D37" s="1" t="s">
        <v>18</v>
      </c>
      <c r="E37" s="1">
        <v>1</v>
      </c>
      <c r="F37" s="1">
        <v>1</v>
      </c>
      <c r="G37" s="1" t="s">
        <v>19</v>
      </c>
    </row>
    <row r="38" spans="1:7" x14ac:dyDescent="0.25">
      <c r="A38" s="1">
        <v>81.235408782958899</v>
      </c>
      <c r="B38" s="1" t="s">
        <v>58</v>
      </c>
      <c r="C38" s="1" t="s">
        <v>18</v>
      </c>
      <c r="D38" s="1" t="s">
        <v>18</v>
      </c>
      <c r="E38" s="1">
        <v>1</v>
      </c>
      <c r="F38" s="1">
        <v>1</v>
      </c>
      <c r="G38" s="1" t="s">
        <v>19</v>
      </c>
    </row>
    <row r="39" spans="1:7" x14ac:dyDescent="0.25">
      <c r="A39" s="1">
        <v>87.344884872436495</v>
      </c>
      <c r="B39" s="1" t="s">
        <v>59</v>
      </c>
      <c r="C39" s="1" t="s">
        <v>18</v>
      </c>
      <c r="D39" s="1" t="s">
        <v>18</v>
      </c>
      <c r="E39" s="1">
        <v>1</v>
      </c>
      <c r="F39" s="1">
        <v>1</v>
      </c>
      <c r="G39" s="1" t="s">
        <v>19</v>
      </c>
    </row>
    <row r="40" spans="1:7" x14ac:dyDescent="0.25">
      <c r="A40" s="1">
        <v>83.019733428955007</v>
      </c>
      <c r="B40" s="1" t="s">
        <v>60</v>
      </c>
      <c r="C40" s="1" t="s">
        <v>18</v>
      </c>
      <c r="D40" s="1" t="s">
        <v>18</v>
      </c>
      <c r="E40" s="1">
        <v>1</v>
      </c>
      <c r="F40" s="1">
        <v>1</v>
      </c>
      <c r="G40" s="1" t="s">
        <v>19</v>
      </c>
    </row>
    <row r="41" spans="1:7" x14ac:dyDescent="0.25">
      <c r="A41" s="1">
        <v>85.900783538818303</v>
      </c>
      <c r="B41" s="1" t="s">
        <v>61</v>
      </c>
      <c r="C41" s="1" t="s">
        <v>18</v>
      </c>
      <c r="D41" s="1" t="s">
        <v>18</v>
      </c>
      <c r="E41" s="1">
        <v>1</v>
      </c>
      <c r="F41" s="1">
        <v>1</v>
      </c>
      <c r="G41" s="1" t="s">
        <v>19</v>
      </c>
    </row>
    <row r="42" spans="1:7" x14ac:dyDescent="0.25">
      <c r="A42" s="1">
        <v>81.398725509643498</v>
      </c>
      <c r="B42" s="1" t="s">
        <v>62</v>
      </c>
      <c r="C42" s="1" t="s">
        <v>18</v>
      </c>
      <c r="D42" s="1" t="s">
        <v>18</v>
      </c>
      <c r="E42" s="1">
        <v>1</v>
      </c>
      <c r="F42" s="1">
        <v>1</v>
      </c>
      <c r="G42" s="1" t="s">
        <v>19</v>
      </c>
    </row>
    <row r="43" spans="1:7" x14ac:dyDescent="0.25">
      <c r="A43" s="1">
        <v>86.055040359496999</v>
      </c>
      <c r="B43" s="1" t="s">
        <v>63</v>
      </c>
      <c r="C43" s="1" t="s">
        <v>18</v>
      </c>
      <c r="D43" s="1" t="s">
        <v>18</v>
      </c>
      <c r="E43" s="1">
        <v>1</v>
      </c>
      <c r="F43" s="1">
        <v>1</v>
      </c>
      <c r="G43" s="1" t="s">
        <v>19</v>
      </c>
    </row>
    <row r="44" spans="1:7" x14ac:dyDescent="0.25">
      <c r="A44" s="1">
        <v>81.988096237182603</v>
      </c>
      <c r="B44" s="1" t="s">
        <v>64</v>
      </c>
      <c r="C44" s="1" t="s">
        <v>18</v>
      </c>
      <c r="D44" s="1" t="s">
        <v>18</v>
      </c>
      <c r="E44" s="1">
        <v>1</v>
      </c>
      <c r="F44" s="1">
        <v>1</v>
      </c>
      <c r="G44" s="1" t="s">
        <v>19</v>
      </c>
    </row>
    <row r="45" spans="1:7" x14ac:dyDescent="0.25">
      <c r="A45" s="1">
        <v>83.566427230834904</v>
      </c>
      <c r="B45" s="1" t="s">
        <v>65</v>
      </c>
      <c r="C45" s="1" t="s">
        <v>18</v>
      </c>
      <c r="D45" s="1" t="s">
        <v>18</v>
      </c>
      <c r="E45" s="1">
        <v>1</v>
      </c>
      <c r="F45" s="1">
        <v>1</v>
      </c>
      <c r="G45" s="1" t="s">
        <v>19</v>
      </c>
    </row>
    <row r="46" spans="1:7" x14ac:dyDescent="0.25">
      <c r="A46" s="1">
        <v>86.038351058959904</v>
      </c>
      <c r="B46" s="1" t="s">
        <v>66</v>
      </c>
      <c r="C46" s="1" t="s">
        <v>18</v>
      </c>
      <c r="D46" s="1" t="s">
        <v>18</v>
      </c>
      <c r="E46" s="1">
        <v>1</v>
      </c>
      <c r="F46" s="1">
        <v>1</v>
      </c>
      <c r="G46" s="1" t="s">
        <v>19</v>
      </c>
    </row>
    <row r="47" spans="1:7" x14ac:dyDescent="0.25">
      <c r="A47" s="1">
        <v>81.947088241577106</v>
      </c>
      <c r="B47" s="1" t="s">
        <v>67</v>
      </c>
      <c r="C47" s="1" t="s">
        <v>18</v>
      </c>
      <c r="D47" s="1" t="s">
        <v>18</v>
      </c>
      <c r="E47" s="1">
        <v>1</v>
      </c>
      <c r="F47" s="1">
        <v>1</v>
      </c>
      <c r="G47" s="1" t="s">
        <v>19</v>
      </c>
    </row>
    <row r="48" spans="1:7" x14ac:dyDescent="0.25">
      <c r="A48" s="1">
        <v>82.074642181396399</v>
      </c>
      <c r="B48" s="1" t="s">
        <v>68</v>
      </c>
      <c r="C48" s="1" t="s">
        <v>18</v>
      </c>
      <c r="D48" s="1" t="s">
        <v>18</v>
      </c>
      <c r="E48" s="1">
        <v>1</v>
      </c>
      <c r="F48" s="1">
        <v>1</v>
      </c>
      <c r="G48" s="1" t="s">
        <v>19</v>
      </c>
    </row>
    <row r="49" spans="1:7" x14ac:dyDescent="0.25">
      <c r="A49" s="1">
        <v>83.512067794799805</v>
      </c>
      <c r="B49" s="1" t="s">
        <v>69</v>
      </c>
      <c r="C49" s="1" t="s">
        <v>18</v>
      </c>
      <c r="D49" s="1" t="s">
        <v>18</v>
      </c>
      <c r="E49" s="1">
        <v>1</v>
      </c>
      <c r="F49" s="1">
        <v>1</v>
      </c>
      <c r="G49" s="1" t="s">
        <v>19</v>
      </c>
    </row>
    <row r="50" spans="1:7" x14ac:dyDescent="0.25">
      <c r="A50" s="1">
        <v>81.008672714233398</v>
      </c>
      <c r="B50" s="1" t="s">
        <v>70</v>
      </c>
      <c r="C50" s="1" t="s">
        <v>18</v>
      </c>
      <c r="D50" s="1" t="s">
        <v>18</v>
      </c>
      <c r="E50" s="1">
        <v>1</v>
      </c>
      <c r="F50" s="1">
        <v>1</v>
      </c>
      <c r="G50" s="1" t="s">
        <v>19</v>
      </c>
    </row>
    <row r="51" spans="1:7" x14ac:dyDescent="0.25">
      <c r="A51" s="1">
        <v>82.228183746337805</v>
      </c>
      <c r="B51" s="1" t="s">
        <v>71</v>
      </c>
      <c r="C51" s="1" t="s">
        <v>18</v>
      </c>
      <c r="D51" s="1" t="s">
        <v>18</v>
      </c>
      <c r="E51" s="1">
        <v>1</v>
      </c>
      <c r="F51" s="1">
        <v>1</v>
      </c>
      <c r="G51" s="1" t="s">
        <v>19</v>
      </c>
    </row>
    <row r="52" spans="1:7" x14ac:dyDescent="0.25">
      <c r="A52" s="1">
        <v>82.794427871704102</v>
      </c>
      <c r="B52" s="1" t="s">
        <v>72</v>
      </c>
      <c r="C52" s="1" t="s">
        <v>18</v>
      </c>
      <c r="D52" s="1" t="s">
        <v>18</v>
      </c>
      <c r="E52" s="1">
        <v>1</v>
      </c>
      <c r="F52" s="1">
        <v>1</v>
      </c>
      <c r="G52" s="1" t="s">
        <v>19</v>
      </c>
    </row>
    <row r="53" spans="1:7" x14ac:dyDescent="0.25">
      <c r="A53" s="1">
        <v>80.873966217041001</v>
      </c>
      <c r="B53" s="1" t="s">
        <v>73</v>
      </c>
      <c r="C53" s="1" t="s">
        <v>18</v>
      </c>
      <c r="D53" s="1" t="s">
        <v>18</v>
      </c>
      <c r="E53" s="1">
        <v>1</v>
      </c>
      <c r="F53" s="1">
        <v>1</v>
      </c>
      <c r="G53" s="1" t="s">
        <v>19</v>
      </c>
    </row>
    <row r="54" spans="1:7" x14ac:dyDescent="0.25">
      <c r="A54" s="1">
        <v>84.207296371459904</v>
      </c>
      <c r="B54" s="1" t="s">
        <v>74</v>
      </c>
      <c r="C54" s="1" t="s">
        <v>18</v>
      </c>
      <c r="D54" s="1" t="s">
        <v>18</v>
      </c>
      <c r="E54" s="1">
        <v>1</v>
      </c>
      <c r="F54" s="1">
        <v>1</v>
      </c>
      <c r="G54" s="1" t="s">
        <v>19</v>
      </c>
    </row>
    <row r="55" spans="1:7" x14ac:dyDescent="0.25">
      <c r="A55" s="1">
        <v>82.324028015136705</v>
      </c>
      <c r="B55" s="1" t="s">
        <v>75</v>
      </c>
      <c r="C55" s="1" t="s">
        <v>18</v>
      </c>
      <c r="D55" s="1" t="s">
        <v>18</v>
      </c>
      <c r="E55" s="1">
        <v>1</v>
      </c>
      <c r="F55" s="1">
        <v>1</v>
      </c>
      <c r="G55" s="1" t="s">
        <v>19</v>
      </c>
    </row>
    <row r="56" spans="1:7" x14ac:dyDescent="0.25">
      <c r="A56" s="1">
        <v>80.981254577636705</v>
      </c>
      <c r="B56" s="1" t="s">
        <v>76</v>
      </c>
      <c r="C56" s="1" t="s">
        <v>99</v>
      </c>
      <c r="D56" s="1" t="s">
        <v>18</v>
      </c>
      <c r="E56" s="1">
        <v>0.5</v>
      </c>
      <c r="F56" s="1">
        <v>0.33333333333333298</v>
      </c>
      <c r="G56" s="1" t="s">
        <v>19</v>
      </c>
    </row>
    <row r="57" spans="1:7" x14ac:dyDescent="0.25">
      <c r="A57" s="1">
        <v>82.847595214843693</v>
      </c>
      <c r="B57" s="1" t="s">
        <v>77</v>
      </c>
      <c r="C57" s="1" t="s">
        <v>18</v>
      </c>
      <c r="D57" s="1" t="s">
        <v>18</v>
      </c>
      <c r="E57" s="1">
        <v>1</v>
      </c>
      <c r="F57" s="1">
        <v>1</v>
      </c>
      <c r="G57" s="1" t="s">
        <v>19</v>
      </c>
    </row>
    <row r="58" spans="1:7" x14ac:dyDescent="0.25">
      <c r="A58" s="1">
        <v>81.956148147582994</v>
      </c>
      <c r="B58" s="1" t="s">
        <v>78</v>
      </c>
      <c r="C58" s="1" t="s">
        <v>18</v>
      </c>
      <c r="D58" s="1" t="s">
        <v>18</v>
      </c>
      <c r="E58" s="1">
        <v>1</v>
      </c>
      <c r="F58" s="1">
        <v>1</v>
      </c>
      <c r="G58" s="1" t="s">
        <v>19</v>
      </c>
    </row>
    <row r="59" spans="1:7" x14ac:dyDescent="0.25">
      <c r="A59" s="1">
        <v>87.849378585815401</v>
      </c>
      <c r="B59" s="1" t="s">
        <v>79</v>
      </c>
      <c r="C59" s="1" t="s">
        <v>18</v>
      </c>
      <c r="D59" s="1" t="s">
        <v>18</v>
      </c>
      <c r="E59" s="1">
        <v>1</v>
      </c>
      <c r="F59" s="1">
        <v>1</v>
      </c>
      <c r="G59" s="1" t="s">
        <v>19</v>
      </c>
    </row>
    <row r="60" spans="1:7" x14ac:dyDescent="0.25">
      <c r="A60" s="1">
        <v>81.221818923950195</v>
      </c>
      <c r="B60" s="1" t="s">
        <v>80</v>
      </c>
      <c r="C60" s="1" t="s">
        <v>18</v>
      </c>
      <c r="D60" s="1" t="s">
        <v>18</v>
      </c>
      <c r="E60" s="1">
        <v>1</v>
      </c>
      <c r="F60" s="1">
        <v>1</v>
      </c>
      <c r="G60" s="1" t="s">
        <v>19</v>
      </c>
    </row>
    <row r="61" spans="1:7" x14ac:dyDescent="0.25">
      <c r="A61" s="1">
        <v>82.3101997375488</v>
      </c>
      <c r="B61" s="1" t="s">
        <v>81</v>
      </c>
      <c r="C61" s="1" t="s">
        <v>18</v>
      </c>
      <c r="D61" s="1" t="s">
        <v>18</v>
      </c>
      <c r="E61" s="1">
        <v>1</v>
      </c>
      <c r="F61" s="1">
        <v>1</v>
      </c>
      <c r="G61" s="1" t="s">
        <v>19</v>
      </c>
    </row>
    <row r="62" spans="1:7" x14ac:dyDescent="0.25">
      <c r="A62" s="1">
        <v>81.751346588134695</v>
      </c>
      <c r="B62" s="1" t="s">
        <v>82</v>
      </c>
      <c r="C62" s="1" t="s">
        <v>18</v>
      </c>
      <c r="D62" s="1" t="s">
        <v>18</v>
      </c>
      <c r="E62" s="1">
        <v>1</v>
      </c>
      <c r="F62" s="1">
        <v>1</v>
      </c>
      <c r="G62" s="1" t="s">
        <v>19</v>
      </c>
    </row>
    <row r="63" spans="1:7" x14ac:dyDescent="0.25">
      <c r="A63" s="1">
        <v>82.312822341918903</v>
      </c>
      <c r="B63" s="1" t="s">
        <v>83</v>
      </c>
      <c r="C63" s="1" t="s">
        <v>18</v>
      </c>
      <c r="D63" s="1" t="s">
        <v>18</v>
      </c>
      <c r="E63" s="1">
        <v>1</v>
      </c>
      <c r="F63" s="1">
        <v>1</v>
      </c>
      <c r="G63" s="1" t="s">
        <v>19</v>
      </c>
    </row>
    <row r="64" spans="1:7" x14ac:dyDescent="0.25">
      <c r="A64" s="1">
        <v>81.703186035156193</v>
      </c>
      <c r="B64" s="1" t="s">
        <v>84</v>
      </c>
      <c r="C64" s="1" t="s">
        <v>18</v>
      </c>
      <c r="D64" s="1" t="s">
        <v>18</v>
      </c>
      <c r="E64" s="1">
        <v>1</v>
      </c>
      <c r="F64" s="1">
        <v>1</v>
      </c>
      <c r="G64" s="1" t="s">
        <v>19</v>
      </c>
    </row>
    <row r="65" spans="1:7" x14ac:dyDescent="0.25">
      <c r="A65" s="1">
        <v>80.334186553955007</v>
      </c>
      <c r="B65" s="1" t="s">
        <v>85</v>
      </c>
      <c r="C65" s="1" t="s">
        <v>18</v>
      </c>
      <c r="D65" s="1" t="s">
        <v>18</v>
      </c>
      <c r="E65" s="1">
        <v>1</v>
      </c>
      <c r="F65" s="1">
        <v>1</v>
      </c>
      <c r="G65" s="1" t="s">
        <v>19</v>
      </c>
    </row>
    <row r="66" spans="1:7" x14ac:dyDescent="0.25">
      <c r="A66" s="1">
        <v>82.701921463012695</v>
      </c>
      <c r="B66" s="1" t="s">
        <v>86</v>
      </c>
      <c r="C66" s="1" t="s">
        <v>18</v>
      </c>
      <c r="D66" s="1" t="s">
        <v>18</v>
      </c>
      <c r="E66" s="1">
        <v>1</v>
      </c>
      <c r="F66" s="1">
        <v>1</v>
      </c>
      <c r="G66" s="1" t="s">
        <v>19</v>
      </c>
    </row>
    <row r="67" spans="1:7" x14ac:dyDescent="0.25">
      <c r="A67" s="1">
        <v>85.364818572998004</v>
      </c>
      <c r="B67" s="1" t="s">
        <v>87</v>
      </c>
      <c r="C67" s="1" t="s">
        <v>18</v>
      </c>
      <c r="D67" s="1" t="s">
        <v>18</v>
      </c>
      <c r="E67" s="1">
        <v>1</v>
      </c>
      <c r="F67" s="1">
        <v>1</v>
      </c>
      <c r="G67" s="1" t="s">
        <v>19</v>
      </c>
    </row>
    <row r="68" spans="1:7" x14ac:dyDescent="0.25">
      <c r="A68" s="1">
        <v>81.432104110717702</v>
      </c>
      <c r="B68" s="1" t="s">
        <v>88</v>
      </c>
      <c r="C68" s="1" t="s">
        <v>18</v>
      </c>
      <c r="D68" s="1" t="s">
        <v>18</v>
      </c>
      <c r="E68" s="1">
        <v>1</v>
      </c>
      <c r="F68" s="1">
        <v>1</v>
      </c>
      <c r="G68" s="1" t="s">
        <v>19</v>
      </c>
    </row>
    <row r="69" spans="1:7" x14ac:dyDescent="0.25">
      <c r="A69" s="1">
        <v>84.923744201660099</v>
      </c>
      <c r="B69" s="1" t="s">
        <v>89</v>
      </c>
      <c r="C69" s="1" t="s">
        <v>18</v>
      </c>
      <c r="D69" s="1" t="s">
        <v>18</v>
      </c>
      <c r="E69" s="1">
        <v>1</v>
      </c>
      <c r="F69" s="1">
        <v>1</v>
      </c>
      <c r="G69" s="1" t="s">
        <v>19</v>
      </c>
    </row>
    <row r="70" spans="1:7" x14ac:dyDescent="0.25">
      <c r="A70" s="1">
        <v>85.549354553222599</v>
      </c>
      <c r="B70" s="1" t="s">
        <v>90</v>
      </c>
      <c r="C70" s="1" t="s">
        <v>18</v>
      </c>
      <c r="D70" s="1" t="s">
        <v>18</v>
      </c>
      <c r="E70" s="1">
        <v>1</v>
      </c>
      <c r="F70" s="1">
        <v>1</v>
      </c>
      <c r="G70" s="1" t="s">
        <v>19</v>
      </c>
    </row>
    <row r="71" spans="1:7" x14ac:dyDescent="0.25">
      <c r="A71" s="1">
        <v>85.169553756713796</v>
      </c>
      <c r="B71" s="1" t="s">
        <v>92</v>
      </c>
      <c r="C71" s="1" t="s">
        <v>18</v>
      </c>
      <c r="D71" s="1" t="s">
        <v>18</v>
      </c>
      <c r="E71" s="1">
        <v>1</v>
      </c>
      <c r="F71" s="1">
        <v>1</v>
      </c>
      <c r="G71" s="1" t="s">
        <v>19</v>
      </c>
    </row>
    <row r="72" spans="1:7" x14ac:dyDescent="0.25">
      <c r="A72" s="1">
        <v>80.739974975585895</v>
      </c>
      <c r="B72" s="1" t="s">
        <v>93</v>
      </c>
      <c r="C72" s="1" t="s">
        <v>18</v>
      </c>
      <c r="D72" s="1" t="s">
        <v>18</v>
      </c>
      <c r="E72" s="1">
        <v>1</v>
      </c>
      <c r="F72" s="1">
        <v>1</v>
      </c>
      <c r="G72" s="1" t="s">
        <v>19</v>
      </c>
    </row>
    <row r="73" spans="1:7" x14ac:dyDescent="0.25">
      <c r="A73" s="1">
        <v>80.739021301269503</v>
      </c>
      <c r="B73" s="1" t="s">
        <v>94</v>
      </c>
      <c r="C73" s="1" t="s">
        <v>18</v>
      </c>
      <c r="D73" s="1" t="s">
        <v>18</v>
      </c>
      <c r="E73" s="1">
        <v>1</v>
      </c>
      <c r="F73" s="1">
        <v>1</v>
      </c>
      <c r="G73" s="1" t="s">
        <v>19</v>
      </c>
    </row>
    <row r="74" spans="1:7" x14ac:dyDescent="0.25">
      <c r="A74" s="1">
        <v>85.248708724975501</v>
      </c>
      <c r="B74" s="1" t="s">
        <v>95</v>
      </c>
      <c r="C74" s="1" t="s">
        <v>18</v>
      </c>
      <c r="D74" s="1" t="s">
        <v>18</v>
      </c>
      <c r="E74" s="1">
        <v>1</v>
      </c>
      <c r="F74" s="1">
        <v>1</v>
      </c>
      <c r="G74" s="1" t="s">
        <v>19</v>
      </c>
    </row>
    <row r="75" spans="1:7" x14ac:dyDescent="0.25">
      <c r="A75" s="1">
        <v>81.317186355590806</v>
      </c>
      <c r="B75" s="1" t="s">
        <v>96</v>
      </c>
      <c r="C75" s="1" t="s">
        <v>18</v>
      </c>
      <c r="D75" s="1" t="s">
        <v>18</v>
      </c>
      <c r="E75" s="1">
        <v>1</v>
      </c>
      <c r="F75" s="1">
        <v>1</v>
      </c>
      <c r="G75" s="1" t="s">
        <v>19</v>
      </c>
    </row>
    <row r="76" spans="1:7" x14ac:dyDescent="0.25">
      <c r="A76" s="1">
        <v>81.255435943603501</v>
      </c>
      <c r="B76" s="1" t="s">
        <v>97</v>
      </c>
      <c r="C76" s="1" t="s">
        <v>18</v>
      </c>
      <c r="D76" s="1" t="s">
        <v>18</v>
      </c>
      <c r="E76" s="1">
        <v>1</v>
      </c>
      <c r="F76" s="1">
        <v>1</v>
      </c>
      <c r="G76" s="1" t="s">
        <v>19</v>
      </c>
    </row>
    <row r="77" spans="1:7" x14ac:dyDescent="0.25">
      <c r="A77" s="1">
        <v>81.927299499511705</v>
      </c>
      <c r="B77" s="1" t="s">
        <v>98</v>
      </c>
      <c r="C77" s="1" t="s">
        <v>18</v>
      </c>
      <c r="D77" s="1" t="s">
        <v>18</v>
      </c>
      <c r="E77" s="1">
        <v>1</v>
      </c>
      <c r="F77" s="1">
        <v>1</v>
      </c>
      <c r="G77" s="1" t="s">
        <v>19</v>
      </c>
    </row>
    <row r="78" spans="1:7" x14ac:dyDescent="0.25">
      <c r="A78" s="1"/>
      <c r="B78" s="1"/>
      <c r="C78" s="1"/>
      <c r="D78" s="1"/>
      <c r="E78" s="1"/>
      <c r="F78" s="1"/>
      <c r="G78" s="1"/>
    </row>
    <row r="79" spans="1:7" x14ac:dyDescent="0.25">
      <c r="A79" s="1"/>
      <c r="B79" s="1"/>
      <c r="C79" s="1"/>
      <c r="D79" s="1"/>
      <c r="E79" s="1"/>
      <c r="F79" s="1"/>
      <c r="G79" s="1"/>
    </row>
    <row r="80" spans="1:7" x14ac:dyDescent="0.25">
      <c r="A80" s="1">
        <f>AVERAGE(A4:A77)</f>
        <v>82.368093567925513</v>
      </c>
      <c r="B80" s="1"/>
      <c r="C80" s="1"/>
      <c r="D80" s="1"/>
      <c r="E80" s="1">
        <f>SUBTOTAL(101,detection_results3__2[Column5])</f>
        <v>0.98666666666666669</v>
      </c>
      <c r="F80" s="1">
        <f>SUBTOTAL(101,detection_results3__2[Column6])</f>
        <v>0.98222222222222211</v>
      </c>
      <c r="G8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81D4-6AFE-4F2D-B05C-4210CA57D8F9}">
  <dimension ref="A1:G78"/>
  <sheetViews>
    <sheetView tabSelected="1" topLeftCell="A43" workbookViewId="0">
      <selection activeCell="J72" sqref="J72"/>
    </sheetView>
  </sheetViews>
  <sheetFormatPr defaultRowHeight="15" x14ac:dyDescent="0.25"/>
  <cols>
    <col min="1" max="1" width="18.85546875" bestFit="1" customWidth="1"/>
    <col min="2" max="5" width="11.42578125" bestFit="1" customWidth="1"/>
    <col min="6" max="6" width="18.85546875" bestFit="1" customWidth="1"/>
    <col min="7" max="7" width="1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>
        <v>5198.1422901153501</v>
      </c>
      <c r="B3" s="1" t="s">
        <v>14</v>
      </c>
      <c r="C3" s="1" t="s">
        <v>108</v>
      </c>
      <c r="D3" s="1" t="s">
        <v>108</v>
      </c>
      <c r="E3" s="1">
        <v>1</v>
      </c>
      <c r="F3" s="1">
        <v>1</v>
      </c>
      <c r="G3" s="1">
        <v>2</v>
      </c>
    </row>
    <row r="4" spans="1:7" x14ac:dyDescent="0.25">
      <c r="A4" s="1">
        <v>87.3870849609375</v>
      </c>
      <c r="B4" s="1" t="s">
        <v>17</v>
      </c>
      <c r="C4" s="1" t="s">
        <v>108</v>
      </c>
      <c r="D4" s="1" t="s">
        <v>108</v>
      </c>
      <c r="E4" s="1">
        <v>1</v>
      </c>
      <c r="F4" s="1">
        <v>1</v>
      </c>
      <c r="G4" s="1">
        <v>2</v>
      </c>
    </row>
    <row r="5" spans="1:7" x14ac:dyDescent="0.25">
      <c r="A5" s="1">
        <v>86.344242095947195</v>
      </c>
      <c r="B5" s="1" t="s">
        <v>20</v>
      </c>
      <c r="C5" s="1" t="s">
        <v>108</v>
      </c>
      <c r="D5" s="1" t="s">
        <v>108</v>
      </c>
      <c r="E5" s="1">
        <v>1</v>
      </c>
      <c r="F5" s="1">
        <v>1</v>
      </c>
      <c r="G5" s="1">
        <v>2</v>
      </c>
    </row>
    <row r="6" spans="1:7" x14ac:dyDescent="0.25">
      <c r="A6" s="1">
        <v>84.894180297851506</v>
      </c>
      <c r="B6" s="1" t="s">
        <v>21</v>
      </c>
      <c r="C6" s="1" t="s">
        <v>108</v>
      </c>
      <c r="D6" s="1" t="s">
        <v>108</v>
      </c>
      <c r="E6" s="1">
        <v>1</v>
      </c>
      <c r="F6" s="1">
        <v>1</v>
      </c>
      <c r="G6" s="1">
        <v>2</v>
      </c>
    </row>
    <row r="7" spans="1:7" x14ac:dyDescent="0.25">
      <c r="A7" s="1">
        <v>85.025072097778306</v>
      </c>
      <c r="B7" s="1" t="s">
        <v>25</v>
      </c>
      <c r="C7" s="1" t="s">
        <v>108</v>
      </c>
      <c r="D7" s="1" t="s">
        <v>108</v>
      </c>
      <c r="E7" s="1">
        <v>1</v>
      </c>
      <c r="F7" s="1">
        <v>1</v>
      </c>
      <c r="G7" s="1">
        <v>2</v>
      </c>
    </row>
    <row r="8" spans="1:7" x14ac:dyDescent="0.25">
      <c r="A8" s="1">
        <v>84.653377532958899</v>
      </c>
      <c r="B8" s="1" t="s">
        <v>26</v>
      </c>
      <c r="C8" s="1" t="s">
        <v>108</v>
      </c>
      <c r="D8" s="1" t="s">
        <v>108</v>
      </c>
      <c r="E8" s="1">
        <v>1</v>
      </c>
      <c r="F8" s="1">
        <v>1</v>
      </c>
      <c r="G8" s="1">
        <v>2</v>
      </c>
    </row>
    <row r="9" spans="1:7" x14ac:dyDescent="0.25">
      <c r="A9" s="1">
        <v>47.926187515258697</v>
      </c>
      <c r="B9" s="1" t="s">
        <v>27</v>
      </c>
      <c r="C9" s="1" t="s">
        <v>109</v>
      </c>
      <c r="D9" s="1" t="s">
        <v>110</v>
      </c>
      <c r="E9" s="1">
        <v>0</v>
      </c>
      <c r="F9" s="1">
        <v>0</v>
      </c>
      <c r="G9" s="1">
        <v>1</v>
      </c>
    </row>
    <row r="10" spans="1:7" x14ac:dyDescent="0.25">
      <c r="A10" s="1">
        <v>83.513736724853501</v>
      </c>
      <c r="B10" s="1" t="s">
        <v>28</v>
      </c>
      <c r="C10" s="1" t="s">
        <v>108</v>
      </c>
      <c r="D10" s="1" t="s">
        <v>108</v>
      </c>
      <c r="E10" s="1">
        <v>1</v>
      </c>
      <c r="F10" s="1">
        <v>1</v>
      </c>
      <c r="G10" s="1">
        <v>2</v>
      </c>
    </row>
    <row r="11" spans="1:7" x14ac:dyDescent="0.25">
      <c r="A11" s="1">
        <v>86.755990982055593</v>
      </c>
      <c r="B11" s="1" t="s">
        <v>30</v>
      </c>
      <c r="C11" s="1" t="s">
        <v>111</v>
      </c>
      <c r="D11" s="1" t="s">
        <v>111</v>
      </c>
      <c r="E11" s="1">
        <v>1</v>
      </c>
      <c r="F11" s="1">
        <v>1</v>
      </c>
      <c r="G11" s="1">
        <v>2</v>
      </c>
    </row>
    <row r="12" spans="1:7" x14ac:dyDescent="0.25">
      <c r="A12" s="1">
        <v>88.436841964721594</v>
      </c>
      <c r="B12" s="1" t="s">
        <v>31</v>
      </c>
      <c r="C12" s="1" t="s">
        <v>108</v>
      </c>
      <c r="D12" s="1" t="s">
        <v>108</v>
      </c>
      <c r="E12" s="1">
        <v>1</v>
      </c>
      <c r="F12" s="1">
        <v>1</v>
      </c>
      <c r="G12" s="1">
        <v>2</v>
      </c>
    </row>
    <row r="13" spans="1:7" x14ac:dyDescent="0.25">
      <c r="A13" s="1">
        <v>83.3783149719238</v>
      </c>
      <c r="B13" s="1" t="s">
        <v>32</v>
      </c>
      <c r="C13" s="1" t="s">
        <v>111</v>
      </c>
      <c r="D13" s="1" t="s">
        <v>111</v>
      </c>
      <c r="E13" s="1">
        <v>1</v>
      </c>
      <c r="F13" s="1">
        <v>1</v>
      </c>
      <c r="G13" s="1">
        <v>2</v>
      </c>
    </row>
    <row r="14" spans="1:7" x14ac:dyDescent="0.25">
      <c r="A14" s="1">
        <v>85.4055881500244</v>
      </c>
      <c r="B14" s="1" t="s">
        <v>33</v>
      </c>
      <c r="C14" s="1" t="s">
        <v>108</v>
      </c>
      <c r="D14" s="1" t="s">
        <v>108</v>
      </c>
      <c r="E14" s="1">
        <v>1</v>
      </c>
      <c r="F14" s="1">
        <v>1</v>
      </c>
      <c r="G14" s="1">
        <v>2</v>
      </c>
    </row>
    <row r="15" spans="1:7" x14ac:dyDescent="0.25">
      <c r="A15" s="1">
        <v>87.292671203613196</v>
      </c>
      <c r="B15" s="1" t="s">
        <v>34</v>
      </c>
      <c r="C15" s="1" t="s">
        <v>112</v>
      </c>
      <c r="D15" s="1" t="s">
        <v>111</v>
      </c>
      <c r="E15" s="1">
        <v>0.5</v>
      </c>
      <c r="F15" s="1">
        <v>0.33333333333333298</v>
      </c>
      <c r="G15" s="1">
        <v>2</v>
      </c>
    </row>
    <row r="16" spans="1:7" x14ac:dyDescent="0.25">
      <c r="A16" s="1">
        <v>86.931228637695298</v>
      </c>
      <c r="B16" s="1" t="s">
        <v>35</v>
      </c>
      <c r="C16" s="1" t="s">
        <v>108</v>
      </c>
      <c r="D16" s="1" t="s">
        <v>108</v>
      </c>
      <c r="E16" s="1">
        <v>1</v>
      </c>
      <c r="F16" s="1">
        <v>1</v>
      </c>
      <c r="G16" s="1">
        <v>2</v>
      </c>
    </row>
    <row r="17" spans="1:7" x14ac:dyDescent="0.25">
      <c r="A17" s="1">
        <v>46.330213546752901</v>
      </c>
      <c r="B17" s="1" t="s">
        <v>36</v>
      </c>
      <c r="C17" s="1" t="s">
        <v>109</v>
      </c>
      <c r="D17" s="1" t="s">
        <v>110</v>
      </c>
      <c r="E17" s="1">
        <v>0</v>
      </c>
      <c r="F17" s="1">
        <v>0</v>
      </c>
      <c r="G17" s="1">
        <v>1</v>
      </c>
    </row>
    <row r="18" spans="1:7" x14ac:dyDescent="0.25">
      <c r="A18" s="1">
        <v>84.652662277221594</v>
      </c>
      <c r="B18" s="1" t="s">
        <v>37</v>
      </c>
      <c r="C18" s="1" t="s">
        <v>108</v>
      </c>
      <c r="D18" s="1" t="s">
        <v>108</v>
      </c>
      <c r="E18" s="1">
        <v>1</v>
      </c>
      <c r="F18" s="1">
        <v>1</v>
      </c>
      <c r="G18" s="1">
        <v>2</v>
      </c>
    </row>
    <row r="19" spans="1:7" x14ac:dyDescent="0.25">
      <c r="A19" s="1">
        <v>85.516452789306598</v>
      </c>
      <c r="B19" s="1" t="s">
        <v>38</v>
      </c>
      <c r="C19" s="1" t="s">
        <v>108</v>
      </c>
      <c r="D19" s="1" t="s">
        <v>108</v>
      </c>
      <c r="E19" s="1">
        <v>1</v>
      </c>
      <c r="F19" s="1">
        <v>1</v>
      </c>
      <c r="G19" s="1">
        <v>2</v>
      </c>
    </row>
    <row r="20" spans="1:7" x14ac:dyDescent="0.25">
      <c r="A20" s="1">
        <v>84.895372390746999</v>
      </c>
      <c r="B20" s="1" t="s">
        <v>39</v>
      </c>
      <c r="C20" s="1" t="s">
        <v>108</v>
      </c>
      <c r="D20" s="1" t="s">
        <v>108</v>
      </c>
      <c r="E20" s="1">
        <v>1</v>
      </c>
      <c r="F20" s="1">
        <v>1</v>
      </c>
      <c r="G20" s="1">
        <v>2</v>
      </c>
    </row>
    <row r="21" spans="1:7" x14ac:dyDescent="0.25">
      <c r="A21" s="1">
        <v>86.272239685058594</v>
      </c>
      <c r="B21" s="1" t="s">
        <v>40</v>
      </c>
      <c r="C21" s="1" t="s">
        <v>111</v>
      </c>
      <c r="D21" s="1" t="s">
        <v>111</v>
      </c>
      <c r="E21" s="1">
        <v>1</v>
      </c>
      <c r="F21" s="1">
        <v>1</v>
      </c>
      <c r="G21" s="1">
        <v>2</v>
      </c>
    </row>
    <row r="22" spans="1:7" x14ac:dyDescent="0.25">
      <c r="A22" s="1">
        <v>84.853649139404297</v>
      </c>
      <c r="B22" s="1" t="s">
        <v>41</v>
      </c>
      <c r="C22" s="1" t="s">
        <v>108</v>
      </c>
      <c r="D22" s="1" t="s">
        <v>108</v>
      </c>
      <c r="E22" s="1">
        <v>1</v>
      </c>
      <c r="F22" s="1">
        <v>1</v>
      </c>
      <c r="G22" s="1">
        <v>2</v>
      </c>
    </row>
    <row r="23" spans="1:7" x14ac:dyDescent="0.25">
      <c r="A23" s="1">
        <v>84.764003753662095</v>
      </c>
      <c r="B23" s="1" t="s">
        <v>42</v>
      </c>
      <c r="C23" s="1" t="s">
        <v>111</v>
      </c>
      <c r="D23" s="1" t="s">
        <v>111</v>
      </c>
      <c r="E23" s="1">
        <v>1</v>
      </c>
      <c r="F23" s="1">
        <v>1</v>
      </c>
      <c r="G23" s="1">
        <v>2</v>
      </c>
    </row>
    <row r="24" spans="1:7" x14ac:dyDescent="0.25">
      <c r="A24" s="1">
        <v>84.847450256347599</v>
      </c>
      <c r="B24" s="1" t="s">
        <v>43</v>
      </c>
      <c r="C24" s="1" t="s">
        <v>108</v>
      </c>
      <c r="D24" s="1" t="s">
        <v>108</v>
      </c>
      <c r="E24" s="1">
        <v>1</v>
      </c>
      <c r="F24" s="1">
        <v>1</v>
      </c>
      <c r="G24" s="1">
        <v>2</v>
      </c>
    </row>
    <row r="25" spans="1:7" x14ac:dyDescent="0.25">
      <c r="A25" s="1">
        <v>85.653543472289996</v>
      </c>
      <c r="B25" s="1" t="s">
        <v>44</v>
      </c>
      <c r="C25" s="1" t="s">
        <v>108</v>
      </c>
      <c r="D25" s="1" t="s">
        <v>108</v>
      </c>
      <c r="E25" s="1">
        <v>1</v>
      </c>
      <c r="F25" s="1">
        <v>1</v>
      </c>
      <c r="G25" s="1">
        <v>2</v>
      </c>
    </row>
    <row r="26" spans="1:7" x14ac:dyDescent="0.25">
      <c r="A26" s="1">
        <v>84.039449691772404</v>
      </c>
      <c r="B26" s="1" t="s">
        <v>45</v>
      </c>
      <c r="C26" s="1" t="s">
        <v>108</v>
      </c>
      <c r="D26" s="1" t="s">
        <v>108</v>
      </c>
      <c r="E26" s="1">
        <v>1</v>
      </c>
      <c r="F26" s="1">
        <v>1</v>
      </c>
      <c r="G26" s="1">
        <v>2</v>
      </c>
    </row>
    <row r="27" spans="1:7" x14ac:dyDescent="0.25">
      <c r="A27" s="1">
        <v>85.208654403686495</v>
      </c>
      <c r="B27" s="1" t="s">
        <v>47</v>
      </c>
      <c r="C27" s="1" t="s">
        <v>108</v>
      </c>
      <c r="D27" s="1" t="s">
        <v>108</v>
      </c>
      <c r="E27" s="1">
        <v>1</v>
      </c>
      <c r="F27" s="1">
        <v>1</v>
      </c>
      <c r="G27" s="1">
        <v>2</v>
      </c>
    </row>
    <row r="28" spans="1:7" x14ac:dyDescent="0.25">
      <c r="A28" s="1">
        <v>83.470821380615206</v>
      </c>
      <c r="B28" s="1" t="s">
        <v>48</v>
      </c>
      <c r="C28" s="1" t="s">
        <v>113</v>
      </c>
      <c r="D28" s="1" t="s">
        <v>108</v>
      </c>
      <c r="E28" s="1">
        <v>0.5</v>
      </c>
      <c r="F28" s="1">
        <v>0.33333333333333298</v>
      </c>
      <c r="G28" s="1">
        <v>2</v>
      </c>
    </row>
    <row r="29" spans="1:7" x14ac:dyDescent="0.25">
      <c r="A29" s="1">
        <v>85.531711578369098</v>
      </c>
      <c r="B29" s="1" t="s">
        <v>49</v>
      </c>
      <c r="C29" s="1" t="s">
        <v>108</v>
      </c>
      <c r="D29" s="1" t="s">
        <v>108</v>
      </c>
      <c r="E29" s="1">
        <v>1</v>
      </c>
      <c r="F29" s="1">
        <v>1</v>
      </c>
      <c r="G29" s="1">
        <v>2</v>
      </c>
    </row>
    <row r="30" spans="1:7" x14ac:dyDescent="0.25">
      <c r="A30" s="1">
        <v>82.278490066528306</v>
      </c>
      <c r="B30" s="1" t="s">
        <v>50</v>
      </c>
      <c r="C30" s="1" t="s">
        <v>111</v>
      </c>
      <c r="D30" s="1" t="s">
        <v>111</v>
      </c>
      <c r="E30" s="1">
        <v>1</v>
      </c>
      <c r="F30" s="1">
        <v>1</v>
      </c>
      <c r="G30" s="1">
        <v>2</v>
      </c>
    </row>
    <row r="31" spans="1:7" x14ac:dyDescent="0.25">
      <c r="A31" s="1">
        <v>84.896564483642507</v>
      </c>
      <c r="B31" s="1" t="s">
        <v>51</v>
      </c>
      <c r="C31" s="1" t="s">
        <v>108</v>
      </c>
      <c r="D31" s="1" t="s">
        <v>108</v>
      </c>
      <c r="E31" s="1">
        <v>1</v>
      </c>
      <c r="F31" s="1">
        <v>1</v>
      </c>
      <c r="G31" s="1">
        <v>2</v>
      </c>
    </row>
    <row r="32" spans="1:7" x14ac:dyDescent="0.25">
      <c r="A32" s="1">
        <v>47.257423400878899</v>
      </c>
      <c r="B32" s="1" t="s">
        <v>52</v>
      </c>
      <c r="C32" s="1" t="s">
        <v>110</v>
      </c>
      <c r="D32" s="1" t="s">
        <v>110</v>
      </c>
      <c r="E32" s="1">
        <v>1</v>
      </c>
      <c r="F32" s="1">
        <v>1</v>
      </c>
      <c r="G32" s="1">
        <v>1</v>
      </c>
    </row>
    <row r="33" spans="1:7" x14ac:dyDescent="0.25">
      <c r="A33" s="1">
        <v>83.979368209838796</v>
      </c>
      <c r="B33" s="1" t="s">
        <v>53</v>
      </c>
      <c r="C33" s="1" t="s">
        <v>108</v>
      </c>
      <c r="D33" s="1" t="s">
        <v>108</v>
      </c>
      <c r="E33" s="1">
        <v>1</v>
      </c>
      <c r="F33" s="1">
        <v>1</v>
      </c>
      <c r="G33" s="1">
        <v>2</v>
      </c>
    </row>
    <row r="34" spans="1:7" x14ac:dyDescent="0.25">
      <c r="A34" s="1">
        <v>46.244859695434499</v>
      </c>
      <c r="B34" s="1" t="s">
        <v>54</v>
      </c>
      <c r="C34" s="1" t="s">
        <v>109</v>
      </c>
      <c r="D34" s="1" t="s">
        <v>109</v>
      </c>
      <c r="E34" s="1">
        <v>1</v>
      </c>
      <c r="F34" s="1">
        <v>1</v>
      </c>
      <c r="G34" s="1">
        <v>1</v>
      </c>
    </row>
    <row r="35" spans="1:7" x14ac:dyDescent="0.25">
      <c r="A35" s="1">
        <v>87.323427200317298</v>
      </c>
      <c r="B35" s="1" t="s">
        <v>55</v>
      </c>
      <c r="C35" s="1" t="s">
        <v>108</v>
      </c>
      <c r="D35" s="1" t="s">
        <v>108</v>
      </c>
      <c r="E35" s="1">
        <v>1</v>
      </c>
      <c r="F35" s="1">
        <v>1</v>
      </c>
      <c r="G35" s="1">
        <v>2</v>
      </c>
    </row>
    <row r="36" spans="1:7" x14ac:dyDescent="0.25">
      <c r="A36" s="1">
        <v>46.462059020996001</v>
      </c>
      <c r="B36" s="1" t="s">
        <v>56</v>
      </c>
      <c r="C36" s="1" t="s">
        <v>109</v>
      </c>
      <c r="D36" s="1" t="s">
        <v>109</v>
      </c>
      <c r="E36" s="1">
        <v>1</v>
      </c>
      <c r="F36" s="1">
        <v>1</v>
      </c>
      <c r="G36" s="1">
        <v>1</v>
      </c>
    </row>
    <row r="37" spans="1:7" x14ac:dyDescent="0.25">
      <c r="A37" s="1">
        <v>46.002626419067298</v>
      </c>
      <c r="B37" s="1" t="s">
        <v>57</v>
      </c>
      <c r="C37" s="1" t="s">
        <v>109</v>
      </c>
      <c r="D37" s="1" t="s">
        <v>109</v>
      </c>
      <c r="E37" s="1">
        <v>1</v>
      </c>
      <c r="F37" s="1">
        <v>1</v>
      </c>
      <c r="G37" s="1">
        <v>1</v>
      </c>
    </row>
    <row r="38" spans="1:7" x14ac:dyDescent="0.25">
      <c r="A38" s="1">
        <v>83.636045455932603</v>
      </c>
      <c r="B38" s="1" t="s">
        <v>58</v>
      </c>
      <c r="C38" s="1" t="s">
        <v>108</v>
      </c>
      <c r="D38" s="1" t="s">
        <v>108</v>
      </c>
      <c r="E38" s="1">
        <v>1</v>
      </c>
      <c r="F38" s="1">
        <v>1</v>
      </c>
      <c r="G38" s="1">
        <v>2</v>
      </c>
    </row>
    <row r="39" spans="1:7" x14ac:dyDescent="0.25">
      <c r="A39" s="1">
        <v>86.147546768188406</v>
      </c>
      <c r="B39" s="1" t="s">
        <v>59</v>
      </c>
      <c r="C39" s="1" t="s">
        <v>108</v>
      </c>
      <c r="D39" s="1" t="s">
        <v>108</v>
      </c>
      <c r="E39" s="1">
        <v>1</v>
      </c>
      <c r="F39" s="1">
        <v>1</v>
      </c>
      <c r="G39" s="1">
        <v>2</v>
      </c>
    </row>
    <row r="40" spans="1:7" x14ac:dyDescent="0.25">
      <c r="A40" s="1">
        <v>85.059404373168903</v>
      </c>
      <c r="B40" s="1" t="s">
        <v>60</v>
      </c>
      <c r="C40" s="1" t="s">
        <v>111</v>
      </c>
      <c r="D40" s="1" t="s">
        <v>111</v>
      </c>
      <c r="E40" s="1">
        <v>1</v>
      </c>
      <c r="F40" s="1">
        <v>1</v>
      </c>
      <c r="G40" s="1">
        <v>2</v>
      </c>
    </row>
    <row r="41" spans="1:7" x14ac:dyDescent="0.25">
      <c r="A41" s="1">
        <v>84.976673126220703</v>
      </c>
      <c r="B41" s="1" t="s">
        <v>61</v>
      </c>
      <c r="C41" s="1" t="s">
        <v>108</v>
      </c>
      <c r="D41" s="1" t="s">
        <v>108</v>
      </c>
      <c r="E41" s="1">
        <v>1</v>
      </c>
      <c r="F41" s="1">
        <v>1</v>
      </c>
      <c r="G41" s="1">
        <v>2</v>
      </c>
    </row>
    <row r="42" spans="1:7" x14ac:dyDescent="0.25">
      <c r="A42" s="1">
        <v>89.035272598266602</v>
      </c>
      <c r="B42" s="1" t="s">
        <v>62</v>
      </c>
      <c r="C42" s="1" t="s">
        <v>108</v>
      </c>
      <c r="D42" s="1" t="s">
        <v>108</v>
      </c>
      <c r="E42" s="1">
        <v>1</v>
      </c>
      <c r="F42" s="1">
        <v>1</v>
      </c>
      <c r="G42" s="1">
        <v>2</v>
      </c>
    </row>
    <row r="43" spans="1:7" x14ac:dyDescent="0.25">
      <c r="A43" s="1">
        <v>83.091497421264606</v>
      </c>
      <c r="B43" s="1" t="s">
        <v>63</v>
      </c>
      <c r="C43" s="1" t="s">
        <v>111</v>
      </c>
      <c r="D43" s="1" t="s">
        <v>111</v>
      </c>
      <c r="E43" s="1">
        <v>1</v>
      </c>
      <c r="F43" s="1">
        <v>1</v>
      </c>
      <c r="G43" s="1">
        <v>2</v>
      </c>
    </row>
    <row r="44" spans="1:7" x14ac:dyDescent="0.25">
      <c r="A44" s="1">
        <v>86.174726486205998</v>
      </c>
      <c r="B44" s="1" t="s">
        <v>64</v>
      </c>
      <c r="C44" s="1" t="s">
        <v>108</v>
      </c>
      <c r="D44" s="1" t="s">
        <v>108</v>
      </c>
      <c r="E44" s="1">
        <v>1</v>
      </c>
      <c r="F44" s="1">
        <v>1</v>
      </c>
      <c r="G44" s="1">
        <v>2</v>
      </c>
    </row>
    <row r="45" spans="1:7" x14ac:dyDescent="0.25">
      <c r="A45" s="1">
        <v>86.127519607543903</v>
      </c>
      <c r="B45" s="1" t="s">
        <v>65</v>
      </c>
      <c r="C45" s="1" t="s">
        <v>108</v>
      </c>
      <c r="D45" s="1" t="s">
        <v>108</v>
      </c>
      <c r="E45" s="1">
        <v>1</v>
      </c>
      <c r="F45" s="1">
        <v>1</v>
      </c>
      <c r="G45" s="1">
        <v>2</v>
      </c>
    </row>
    <row r="46" spans="1:7" x14ac:dyDescent="0.25">
      <c r="A46" s="1">
        <v>85.216522216796804</v>
      </c>
      <c r="B46" s="1" t="s">
        <v>66</v>
      </c>
      <c r="C46" s="1" t="s">
        <v>108</v>
      </c>
      <c r="D46" s="1" t="s">
        <v>108</v>
      </c>
      <c r="E46" s="1">
        <v>1</v>
      </c>
      <c r="F46" s="1">
        <v>1</v>
      </c>
      <c r="G46" s="1">
        <v>2</v>
      </c>
    </row>
    <row r="47" spans="1:7" x14ac:dyDescent="0.25">
      <c r="A47" s="1">
        <v>83.372592926025305</v>
      </c>
      <c r="B47" s="1" t="s">
        <v>67</v>
      </c>
      <c r="C47" s="1" t="s">
        <v>111</v>
      </c>
      <c r="D47" s="1" t="s">
        <v>111</v>
      </c>
      <c r="E47" s="1">
        <v>1</v>
      </c>
      <c r="F47" s="1">
        <v>1</v>
      </c>
      <c r="G47" s="1">
        <v>2</v>
      </c>
    </row>
    <row r="48" spans="1:7" x14ac:dyDescent="0.25">
      <c r="A48" s="1">
        <v>82.131624221801701</v>
      </c>
      <c r="B48" s="1" t="s">
        <v>68</v>
      </c>
      <c r="C48" s="1" t="s">
        <v>114</v>
      </c>
      <c r="D48" s="1" t="s">
        <v>111</v>
      </c>
      <c r="E48" s="1">
        <v>0.5</v>
      </c>
      <c r="F48" s="1">
        <v>0.33333333333333298</v>
      </c>
      <c r="G48" s="1">
        <v>2</v>
      </c>
    </row>
    <row r="49" spans="1:7" x14ac:dyDescent="0.25">
      <c r="A49" s="1">
        <v>85.170030593871999</v>
      </c>
      <c r="B49" s="1" t="s">
        <v>69</v>
      </c>
      <c r="C49" s="1" t="s">
        <v>108</v>
      </c>
      <c r="D49" s="1" t="s">
        <v>108</v>
      </c>
      <c r="E49" s="1">
        <v>1</v>
      </c>
      <c r="F49" s="1">
        <v>1</v>
      </c>
      <c r="G49" s="1">
        <v>2</v>
      </c>
    </row>
    <row r="50" spans="1:7" x14ac:dyDescent="0.25">
      <c r="A50" s="1">
        <v>84.9499702453613</v>
      </c>
      <c r="B50" s="1" t="s">
        <v>70</v>
      </c>
      <c r="C50" s="1" t="s">
        <v>108</v>
      </c>
      <c r="D50" s="1" t="s">
        <v>108</v>
      </c>
      <c r="E50" s="1">
        <v>1</v>
      </c>
      <c r="F50" s="1">
        <v>1</v>
      </c>
      <c r="G50" s="1">
        <v>2</v>
      </c>
    </row>
    <row r="51" spans="1:7" x14ac:dyDescent="0.25">
      <c r="A51" s="1">
        <v>91.285228729248004</v>
      </c>
      <c r="B51" s="1" t="s">
        <v>71</v>
      </c>
      <c r="C51" s="1" t="s">
        <v>108</v>
      </c>
      <c r="D51" s="1" t="s">
        <v>108</v>
      </c>
      <c r="E51" s="1">
        <v>1</v>
      </c>
      <c r="F51" s="1">
        <v>1</v>
      </c>
      <c r="G51" s="1">
        <v>2</v>
      </c>
    </row>
    <row r="52" spans="1:7" x14ac:dyDescent="0.25">
      <c r="A52" s="1">
        <v>87.779760360717702</v>
      </c>
      <c r="B52" s="1" t="s">
        <v>72</v>
      </c>
      <c r="C52" s="1" t="s">
        <v>108</v>
      </c>
      <c r="D52" s="1" t="s">
        <v>108</v>
      </c>
      <c r="E52" s="1">
        <v>1</v>
      </c>
      <c r="F52" s="1">
        <v>1</v>
      </c>
      <c r="G52" s="1">
        <v>2</v>
      </c>
    </row>
    <row r="53" spans="1:7" x14ac:dyDescent="0.25">
      <c r="A53" s="1">
        <v>86.6110324859619</v>
      </c>
      <c r="B53" s="1" t="s">
        <v>73</v>
      </c>
      <c r="C53" s="1" t="s">
        <v>108</v>
      </c>
      <c r="D53" s="1" t="s">
        <v>108</v>
      </c>
      <c r="E53" s="1">
        <v>1</v>
      </c>
      <c r="F53" s="1">
        <v>1</v>
      </c>
      <c r="G53" s="1">
        <v>2</v>
      </c>
    </row>
    <row r="54" spans="1:7" x14ac:dyDescent="0.25">
      <c r="A54" s="1">
        <v>84.654331207275305</v>
      </c>
      <c r="B54" s="1" t="s">
        <v>74</v>
      </c>
      <c r="C54" s="1" t="s">
        <v>111</v>
      </c>
      <c r="D54" s="1" t="s">
        <v>111</v>
      </c>
      <c r="E54" s="1">
        <v>1</v>
      </c>
      <c r="F54" s="1">
        <v>1</v>
      </c>
      <c r="G54" s="1">
        <v>2</v>
      </c>
    </row>
    <row r="55" spans="1:7" x14ac:dyDescent="0.25">
      <c r="A55" s="1">
        <v>84.816694259643498</v>
      </c>
      <c r="B55" s="1" t="s">
        <v>75</v>
      </c>
      <c r="C55" s="1" t="s">
        <v>108</v>
      </c>
      <c r="D55" s="1" t="s">
        <v>108</v>
      </c>
      <c r="E55" s="1">
        <v>1</v>
      </c>
      <c r="F55" s="1">
        <v>1</v>
      </c>
      <c r="G55" s="1">
        <v>2</v>
      </c>
    </row>
    <row r="56" spans="1:7" x14ac:dyDescent="0.25">
      <c r="A56" s="1">
        <v>83.9560031890869</v>
      </c>
      <c r="B56" s="1" t="s">
        <v>76</v>
      </c>
      <c r="C56" s="1" t="s">
        <v>108</v>
      </c>
      <c r="D56" s="1" t="s">
        <v>108</v>
      </c>
      <c r="E56" s="1">
        <v>1</v>
      </c>
      <c r="F56" s="1">
        <v>1</v>
      </c>
      <c r="G56" s="1">
        <v>2</v>
      </c>
    </row>
    <row r="57" spans="1:7" x14ac:dyDescent="0.25">
      <c r="A57" s="1">
        <v>86.305141448974595</v>
      </c>
      <c r="B57" s="1" t="s">
        <v>77</v>
      </c>
      <c r="C57" s="1" t="s">
        <v>108</v>
      </c>
      <c r="D57" s="1" t="s">
        <v>108</v>
      </c>
      <c r="E57" s="1">
        <v>1</v>
      </c>
      <c r="F57" s="1">
        <v>1</v>
      </c>
      <c r="G57" s="1">
        <v>2</v>
      </c>
    </row>
    <row r="58" spans="1:7" x14ac:dyDescent="0.25">
      <c r="A58" s="1">
        <v>85.949897766113196</v>
      </c>
      <c r="B58" s="1" t="s">
        <v>78</v>
      </c>
      <c r="C58" s="1" t="s">
        <v>108</v>
      </c>
      <c r="D58" s="1" t="s">
        <v>108</v>
      </c>
      <c r="E58" s="1">
        <v>1</v>
      </c>
      <c r="F58" s="1">
        <v>1</v>
      </c>
      <c r="G58" s="1">
        <v>2</v>
      </c>
    </row>
    <row r="59" spans="1:7" x14ac:dyDescent="0.25">
      <c r="A59" s="1">
        <v>85.616111755371094</v>
      </c>
      <c r="B59" s="1" t="s">
        <v>79</v>
      </c>
      <c r="C59" s="1" t="s">
        <v>108</v>
      </c>
      <c r="D59" s="1" t="s">
        <v>108</v>
      </c>
      <c r="E59" s="1">
        <v>1</v>
      </c>
      <c r="F59" s="1">
        <v>1</v>
      </c>
      <c r="G59" s="1">
        <v>2</v>
      </c>
    </row>
    <row r="60" spans="1:7" x14ac:dyDescent="0.25">
      <c r="A60" s="1">
        <v>84.141969680786104</v>
      </c>
      <c r="B60" s="1" t="s">
        <v>80</v>
      </c>
      <c r="C60" s="1" t="s">
        <v>108</v>
      </c>
      <c r="D60" s="1" t="s">
        <v>108</v>
      </c>
      <c r="E60" s="1">
        <v>1</v>
      </c>
      <c r="F60" s="1">
        <v>1</v>
      </c>
      <c r="G60" s="1">
        <v>2</v>
      </c>
    </row>
    <row r="61" spans="1:7" x14ac:dyDescent="0.25">
      <c r="A61" s="1">
        <v>84.692001342773395</v>
      </c>
      <c r="B61" s="1" t="s">
        <v>81</v>
      </c>
      <c r="C61" s="1" t="s">
        <v>111</v>
      </c>
      <c r="D61" s="1" t="s">
        <v>111</v>
      </c>
      <c r="E61" s="1">
        <v>1</v>
      </c>
      <c r="F61" s="1">
        <v>1</v>
      </c>
      <c r="G61" s="1">
        <v>2</v>
      </c>
    </row>
    <row r="62" spans="1:7" x14ac:dyDescent="0.25">
      <c r="A62" s="1">
        <v>87.634563446044893</v>
      </c>
      <c r="B62" s="1" t="s">
        <v>82</v>
      </c>
      <c r="C62" s="1" t="s">
        <v>108</v>
      </c>
      <c r="D62" s="1" t="s">
        <v>108</v>
      </c>
      <c r="E62" s="1">
        <v>1</v>
      </c>
      <c r="F62" s="1">
        <v>1</v>
      </c>
      <c r="G62" s="1">
        <v>2</v>
      </c>
    </row>
    <row r="63" spans="1:7" x14ac:dyDescent="0.25">
      <c r="A63" s="1">
        <v>85.212230682373004</v>
      </c>
      <c r="B63" s="1" t="s">
        <v>83</v>
      </c>
      <c r="C63" s="1" t="s">
        <v>111</v>
      </c>
      <c r="D63" s="1" t="s">
        <v>111</v>
      </c>
      <c r="E63" s="1">
        <v>1</v>
      </c>
      <c r="F63" s="1">
        <v>1</v>
      </c>
      <c r="G63" s="1">
        <v>2</v>
      </c>
    </row>
    <row r="64" spans="1:7" x14ac:dyDescent="0.25">
      <c r="A64" s="1">
        <v>85.934638977050696</v>
      </c>
      <c r="B64" s="1" t="s">
        <v>84</v>
      </c>
      <c r="C64" s="1" t="s">
        <v>108</v>
      </c>
      <c r="D64" s="1" t="s">
        <v>108</v>
      </c>
      <c r="E64" s="1">
        <v>1</v>
      </c>
      <c r="F64" s="1">
        <v>1</v>
      </c>
      <c r="G64" s="1">
        <v>2</v>
      </c>
    </row>
    <row r="65" spans="1:7" x14ac:dyDescent="0.25">
      <c r="A65" s="1">
        <v>84.743022918701101</v>
      </c>
      <c r="B65" s="1" t="s">
        <v>85</v>
      </c>
      <c r="C65" s="1" t="s">
        <v>108</v>
      </c>
      <c r="D65" s="1" t="s">
        <v>108</v>
      </c>
      <c r="E65" s="1">
        <v>1</v>
      </c>
      <c r="F65" s="1">
        <v>1</v>
      </c>
      <c r="G65" s="1">
        <v>2</v>
      </c>
    </row>
    <row r="66" spans="1:7" x14ac:dyDescent="0.25">
      <c r="A66" s="1">
        <v>82.120656967163001</v>
      </c>
      <c r="B66" s="1" t="s">
        <v>86</v>
      </c>
      <c r="C66" s="1" t="s">
        <v>114</v>
      </c>
      <c r="D66" s="1" t="s">
        <v>111</v>
      </c>
      <c r="E66" s="1">
        <v>0.5</v>
      </c>
      <c r="F66" s="1">
        <v>0.33333333333333298</v>
      </c>
      <c r="G66" s="1">
        <v>2</v>
      </c>
    </row>
    <row r="67" spans="1:7" x14ac:dyDescent="0.25">
      <c r="A67" s="1">
        <v>85.3030681610107</v>
      </c>
      <c r="B67" s="1" t="s">
        <v>87</v>
      </c>
      <c r="C67" s="1" t="s">
        <v>111</v>
      </c>
      <c r="D67" s="1" t="s">
        <v>111</v>
      </c>
      <c r="E67" s="1">
        <v>1</v>
      </c>
      <c r="F67" s="1">
        <v>1</v>
      </c>
      <c r="G67" s="1">
        <v>2</v>
      </c>
    </row>
    <row r="68" spans="1:7" x14ac:dyDescent="0.25">
      <c r="A68" s="1">
        <v>85.432052612304602</v>
      </c>
      <c r="B68" s="1" t="s">
        <v>88</v>
      </c>
      <c r="C68" s="1" t="s">
        <v>111</v>
      </c>
      <c r="D68" s="1" t="s">
        <v>111</v>
      </c>
      <c r="E68" s="1">
        <v>1</v>
      </c>
      <c r="F68" s="1">
        <v>1</v>
      </c>
      <c r="G68" s="1">
        <v>2</v>
      </c>
    </row>
    <row r="69" spans="1:7" x14ac:dyDescent="0.25">
      <c r="A69" s="1">
        <v>84.484577178955007</v>
      </c>
      <c r="B69" s="1" t="s">
        <v>89</v>
      </c>
      <c r="C69" s="1" t="s">
        <v>108</v>
      </c>
      <c r="D69" s="1" t="s">
        <v>108</v>
      </c>
      <c r="E69" s="1">
        <v>1</v>
      </c>
      <c r="F69" s="1">
        <v>1</v>
      </c>
      <c r="G69" s="1">
        <v>2</v>
      </c>
    </row>
    <row r="70" spans="1:7" x14ac:dyDescent="0.25">
      <c r="A70" s="1">
        <v>83.6639404296875</v>
      </c>
      <c r="B70" s="1" t="s">
        <v>90</v>
      </c>
      <c r="C70" s="1" t="s">
        <v>108</v>
      </c>
      <c r="D70" s="1" t="s">
        <v>108</v>
      </c>
      <c r="E70" s="1">
        <v>1</v>
      </c>
      <c r="F70" s="1">
        <v>1</v>
      </c>
      <c r="G70" s="1">
        <v>2</v>
      </c>
    </row>
    <row r="71" spans="1:7" x14ac:dyDescent="0.25">
      <c r="A71" s="1">
        <v>84.013938903808594</v>
      </c>
      <c r="B71" s="1" t="s">
        <v>92</v>
      </c>
      <c r="C71" s="1" t="s">
        <v>108</v>
      </c>
      <c r="D71" s="1" t="s">
        <v>108</v>
      </c>
      <c r="E71" s="1">
        <v>1</v>
      </c>
      <c r="F71" s="1">
        <v>1</v>
      </c>
      <c r="G71" s="1">
        <v>2</v>
      </c>
    </row>
    <row r="72" spans="1:7" x14ac:dyDescent="0.25">
      <c r="A72" s="1">
        <v>84.649324417114201</v>
      </c>
      <c r="B72" s="1" t="s">
        <v>93</v>
      </c>
      <c r="C72" s="1" t="s">
        <v>108</v>
      </c>
      <c r="D72" s="1" t="s">
        <v>108</v>
      </c>
      <c r="E72" s="1">
        <v>1</v>
      </c>
      <c r="F72" s="1">
        <v>1</v>
      </c>
      <c r="G72" s="1">
        <v>2</v>
      </c>
    </row>
    <row r="73" spans="1:7" x14ac:dyDescent="0.25">
      <c r="A73" s="1">
        <v>84.394216537475501</v>
      </c>
      <c r="B73" s="1" t="s">
        <v>94</v>
      </c>
      <c r="C73" s="1" t="s">
        <v>108</v>
      </c>
      <c r="D73" s="1" t="s">
        <v>108</v>
      </c>
      <c r="E73" s="1">
        <v>1</v>
      </c>
      <c r="F73" s="1">
        <v>1</v>
      </c>
      <c r="G73" s="1">
        <v>2</v>
      </c>
    </row>
    <row r="74" spans="1:7" x14ac:dyDescent="0.25">
      <c r="A74" s="1">
        <v>84.592342376708899</v>
      </c>
      <c r="B74" s="1" t="s">
        <v>95</v>
      </c>
      <c r="C74" s="1" t="s">
        <v>115</v>
      </c>
      <c r="D74" s="1" t="s">
        <v>111</v>
      </c>
      <c r="E74" s="1">
        <v>0.5</v>
      </c>
      <c r="F74" s="1">
        <v>0.33333333333333298</v>
      </c>
      <c r="G74" s="1">
        <v>2</v>
      </c>
    </row>
    <row r="75" spans="1:7" x14ac:dyDescent="0.25">
      <c r="A75" s="1">
        <v>85.076808929443303</v>
      </c>
      <c r="B75" s="1" t="s">
        <v>96</v>
      </c>
      <c r="C75" s="1" t="s">
        <v>108</v>
      </c>
      <c r="D75" s="1" t="s">
        <v>108</v>
      </c>
      <c r="E75" s="1">
        <v>1</v>
      </c>
      <c r="F75" s="1">
        <v>1</v>
      </c>
      <c r="G75" s="1">
        <v>2</v>
      </c>
    </row>
    <row r="76" spans="1:7" x14ac:dyDescent="0.25">
      <c r="A76" s="1">
        <v>89.140653610229407</v>
      </c>
      <c r="B76" s="1" t="s">
        <v>97</v>
      </c>
      <c r="C76" s="1" t="s">
        <v>108</v>
      </c>
      <c r="D76" s="1" t="s">
        <v>108</v>
      </c>
      <c r="E76" s="1">
        <v>1</v>
      </c>
      <c r="F76" s="1">
        <v>1</v>
      </c>
      <c r="G76" s="1">
        <v>2</v>
      </c>
    </row>
    <row r="77" spans="1:7" x14ac:dyDescent="0.25">
      <c r="A77" s="1">
        <v>84.600210189819293</v>
      </c>
      <c r="B77" s="1" t="s">
        <v>98</v>
      </c>
      <c r="C77" s="1" t="s">
        <v>108</v>
      </c>
      <c r="D77" s="1" t="s">
        <v>108</v>
      </c>
      <c r="E77" s="1">
        <v>1</v>
      </c>
      <c r="F77" s="1">
        <v>1</v>
      </c>
      <c r="G77" s="1">
        <v>2</v>
      </c>
    </row>
    <row r="78" spans="1:7" x14ac:dyDescent="0.25">
      <c r="A78" s="1">
        <f>AVERAGE(A4:A77)</f>
        <v>82.166478440568241</v>
      </c>
      <c r="B78" s="1"/>
      <c r="C78" s="1"/>
      <c r="D78" s="1"/>
      <c r="E78" s="1">
        <f>SUBTOTAL(101,detection_results3__5[Column5])</f>
        <v>0.94</v>
      </c>
      <c r="F78" s="1">
        <f>SUBTOTAL(101,detection_results3__5[Column6])</f>
        <v>0.92888888888888899</v>
      </c>
      <c r="G78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E23B-3602-4F5D-B53E-0275ED29FDD2}">
  <dimension ref="A1:G82"/>
  <sheetViews>
    <sheetView topLeftCell="A47" zoomScaleNormal="100" workbookViewId="0">
      <selection activeCell="F82" sqref="F82"/>
    </sheetView>
  </sheetViews>
  <sheetFormatPr defaultRowHeight="15" x14ac:dyDescent="0.25"/>
  <cols>
    <col min="1" max="1" width="18.85546875" bestFit="1" customWidth="1"/>
    <col min="2" max="4" width="11.42578125" bestFit="1" customWidth="1"/>
    <col min="5" max="6" width="18.85546875" bestFit="1" customWidth="1"/>
    <col min="7" max="7" width="1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>
        <v>7901.8869400024396</v>
      </c>
      <c r="B3" s="1" t="s">
        <v>14</v>
      </c>
      <c r="C3" s="1" t="s">
        <v>15</v>
      </c>
      <c r="D3" s="1" t="s">
        <v>15</v>
      </c>
      <c r="E3" s="1">
        <v>1</v>
      </c>
      <c r="F3" s="1">
        <v>1</v>
      </c>
      <c r="G3" s="1" t="s">
        <v>16</v>
      </c>
    </row>
    <row r="4" spans="1:7" x14ac:dyDescent="0.25">
      <c r="A4" s="1">
        <v>83.111524581909094</v>
      </c>
      <c r="B4" s="1" t="s">
        <v>17</v>
      </c>
      <c r="C4" s="1" t="s">
        <v>18</v>
      </c>
      <c r="D4" s="1" t="s">
        <v>18</v>
      </c>
      <c r="E4" s="1">
        <v>1</v>
      </c>
      <c r="F4" s="1">
        <v>1</v>
      </c>
      <c r="G4" s="1" t="s">
        <v>19</v>
      </c>
    </row>
    <row r="5" spans="1:7" x14ac:dyDescent="0.25">
      <c r="A5" s="1">
        <v>83.31298828125</v>
      </c>
      <c r="B5" s="1" t="s">
        <v>20</v>
      </c>
      <c r="C5" s="1" t="s">
        <v>18</v>
      </c>
      <c r="D5" s="1" t="s">
        <v>18</v>
      </c>
      <c r="E5" s="1">
        <v>1</v>
      </c>
      <c r="F5" s="1">
        <v>1</v>
      </c>
      <c r="G5" s="1" t="s">
        <v>19</v>
      </c>
    </row>
    <row r="6" spans="1:7" x14ac:dyDescent="0.25">
      <c r="A6" s="1">
        <v>119.775056838989</v>
      </c>
      <c r="B6" s="1" t="s">
        <v>21</v>
      </c>
      <c r="C6" s="1" t="s">
        <v>22</v>
      </c>
      <c r="D6" s="1" t="s">
        <v>23</v>
      </c>
      <c r="E6" s="1">
        <v>0.66666666666666596</v>
      </c>
      <c r="F6" s="1">
        <v>0.4</v>
      </c>
      <c r="G6" s="1" t="s">
        <v>24</v>
      </c>
    </row>
    <row r="7" spans="1:7" x14ac:dyDescent="0.25">
      <c r="A7" s="1">
        <v>82.295894622802706</v>
      </c>
      <c r="B7" s="1" t="s">
        <v>25</v>
      </c>
      <c r="C7" s="1" t="s">
        <v>18</v>
      </c>
      <c r="D7" s="1" t="s">
        <v>18</v>
      </c>
      <c r="E7" s="1">
        <v>1</v>
      </c>
      <c r="F7" s="1">
        <v>1</v>
      </c>
      <c r="G7" s="1" t="s">
        <v>19</v>
      </c>
    </row>
    <row r="8" spans="1:7" x14ac:dyDescent="0.25">
      <c r="A8" s="1">
        <v>42.800664901733398</v>
      </c>
      <c r="B8" s="1" t="s">
        <v>26</v>
      </c>
      <c r="C8" s="1" t="s">
        <v>15</v>
      </c>
      <c r="D8" s="1" t="s">
        <v>15</v>
      </c>
      <c r="E8" s="1">
        <v>1</v>
      </c>
      <c r="F8" s="1">
        <v>1</v>
      </c>
      <c r="G8" s="1" t="s">
        <v>16</v>
      </c>
    </row>
    <row r="9" spans="1:7" x14ac:dyDescent="0.25">
      <c r="A9" s="1">
        <v>44.205665588378899</v>
      </c>
      <c r="B9" s="1" t="s">
        <v>27</v>
      </c>
      <c r="C9" s="1" t="s">
        <v>15</v>
      </c>
      <c r="D9" s="1" t="s">
        <v>15</v>
      </c>
      <c r="E9" s="1">
        <v>1</v>
      </c>
      <c r="F9" s="1">
        <v>1</v>
      </c>
      <c r="G9" s="1" t="s">
        <v>16</v>
      </c>
    </row>
    <row r="10" spans="1:7" x14ac:dyDescent="0.25">
      <c r="A10" s="1">
        <v>81.588983535766602</v>
      </c>
      <c r="B10" s="1" t="s">
        <v>28</v>
      </c>
      <c r="C10" s="1" t="s">
        <v>29</v>
      </c>
      <c r="D10" s="1" t="s">
        <v>18</v>
      </c>
      <c r="E10" s="1">
        <v>0.5</v>
      </c>
      <c r="F10" s="1">
        <v>0.33333333333333298</v>
      </c>
      <c r="G10" s="1" t="s">
        <v>19</v>
      </c>
    </row>
    <row r="11" spans="1:7" x14ac:dyDescent="0.25">
      <c r="A11" s="1">
        <v>83.7860107421875</v>
      </c>
      <c r="B11" s="1" t="s">
        <v>30</v>
      </c>
      <c r="C11" s="1" t="s">
        <v>18</v>
      </c>
      <c r="D11" s="1" t="s">
        <v>18</v>
      </c>
      <c r="E11" s="1">
        <v>1</v>
      </c>
      <c r="F11" s="1">
        <v>1</v>
      </c>
      <c r="G11" s="1" t="s">
        <v>19</v>
      </c>
    </row>
    <row r="12" spans="1:7" x14ac:dyDescent="0.25">
      <c r="A12" s="1">
        <v>83.563089370727496</v>
      </c>
      <c r="B12" s="1" t="s">
        <v>31</v>
      </c>
      <c r="C12" s="1" t="s">
        <v>18</v>
      </c>
      <c r="D12" s="1" t="s">
        <v>18</v>
      </c>
      <c r="E12" s="1">
        <v>1</v>
      </c>
      <c r="F12" s="1">
        <v>1</v>
      </c>
      <c r="G12" s="1" t="s">
        <v>19</v>
      </c>
    </row>
    <row r="13" spans="1:7" x14ac:dyDescent="0.25">
      <c r="A13" s="1">
        <v>43.388128280639599</v>
      </c>
      <c r="B13" s="1" t="s">
        <v>32</v>
      </c>
      <c r="C13" s="1" t="s">
        <v>15</v>
      </c>
      <c r="D13" s="1" t="s">
        <v>15</v>
      </c>
      <c r="E13" s="1">
        <v>1</v>
      </c>
      <c r="F13" s="1">
        <v>1</v>
      </c>
      <c r="G13" s="1" t="s">
        <v>16</v>
      </c>
    </row>
    <row r="14" spans="1:7" x14ac:dyDescent="0.25">
      <c r="A14" s="1">
        <v>42.935609817504798</v>
      </c>
      <c r="B14" s="1" t="s">
        <v>33</v>
      </c>
      <c r="C14" s="1" t="s">
        <v>15</v>
      </c>
      <c r="D14" s="1" t="s">
        <v>15</v>
      </c>
      <c r="E14" s="1">
        <v>1</v>
      </c>
      <c r="F14" s="1">
        <v>1</v>
      </c>
      <c r="G14" s="1" t="s">
        <v>16</v>
      </c>
    </row>
    <row r="15" spans="1:7" x14ac:dyDescent="0.25">
      <c r="A15" s="1">
        <v>83.834409713745103</v>
      </c>
      <c r="B15" s="1" t="s">
        <v>34</v>
      </c>
      <c r="C15" s="1" t="s">
        <v>18</v>
      </c>
      <c r="D15" s="1" t="s">
        <v>18</v>
      </c>
      <c r="E15" s="1">
        <v>1</v>
      </c>
      <c r="F15" s="1">
        <v>1</v>
      </c>
      <c r="G15" s="1" t="s">
        <v>19</v>
      </c>
    </row>
    <row r="16" spans="1:7" x14ac:dyDescent="0.25">
      <c r="A16" s="1">
        <v>83.121776580810504</v>
      </c>
      <c r="B16" s="1" t="s">
        <v>35</v>
      </c>
      <c r="C16" s="1" t="s">
        <v>18</v>
      </c>
      <c r="D16" s="1" t="s">
        <v>18</v>
      </c>
      <c r="E16" s="1">
        <v>1</v>
      </c>
      <c r="F16" s="1">
        <v>1</v>
      </c>
      <c r="G16" s="1" t="s">
        <v>19</v>
      </c>
    </row>
    <row r="17" spans="1:7" x14ac:dyDescent="0.25">
      <c r="A17" s="1">
        <v>45.419216156005803</v>
      </c>
      <c r="B17" s="1" t="s">
        <v>36</v>
      </c>
      <c r="C17" s="1" t="s">
        <v>15</v>
      </c>
      <c r="D17" s="1" t="s">
        <v>15</v>
      </c>
      <c r="E17" s="1">
        <v>1</v>
      </c>
      <c r="F17" s="1">
        <v>1</v>
      </c>
      <c r="G17" s="1" t="s">
        <v>16</v>
      </c>
    </row>
    <row r="18" spans="1:7" x14ac:dyDescent="0.25">
      <c r="A18" s="1">
        <v>42.3812866210937</v>
      </c>
      <c r="B18" s="1" t="s">
        <v>37</v>
      </c>
      <c r="C18" s="1" t="s">
        <v>15</v>
      </c>
      <c r="D18" s="1" t="s">
        <v>15</v>
      </c>
      <c r="E18" s="1">
        <v>1</v>
      </c>
      <c r="F18" s="1">
        <v>1</v>
      </c>
      <c r="G18" s="1" t="s">
        <v>16</v>
      </c>
    </row>
    <row r="19" spans="1:7" x14ac:dyDescent="0.25">
      <c r="A19" s="1">
        <v>82.039833068847599</v>
      </c>
      <c r="B19" s="1" t="s">
        <v>38</v>
      </c>
      <c r="C19" s="1" t="s">
        <v>18</v>
      </c>
      <c r="D19" s="1" t="s">
        <v>18</v>
      </c>
      <c r="E19" s="1">
        <v>1</v>
      </c>
      <c r="F19" s="1">
        <v>1</v>
      </c>
      <c r="G19" s="1" t="s">
        <v>19</v>
      </c>
    </row>
    <row r="20" spans="1:7" x14ac:dyDescent="0.25">
      <c r="A20" s="1">
        <v>82.648515701293903</v>
      </c>
      <c r="B20" s="1" t="s">
        <v>39</v>
      </c>
      <c r="C20" s="1" t="s">
        <v>18</v>
      </c>
      <c r="D20" s="1" t="s">
        <v>18</v>
      </c>
      <c r="E20" s="1">
        <v>1</v>
      </c>
      <c r="F20" s="1">
        <v>1</v>
      </c>
      <c r="G20" s="1" t="s">
        <v>19</v>
      </c>
    </row>
    <row r="21" spans="1:7" x14ac:dyDescent="0.25">
      <c r="A21" s="1">
        <v>42.365550994872997</v>
      </c>
      <c r="B21" s="1" t="s">
        <v>40</v>
      </c>
      <c r="C21" s="1" t="s">
        <v>15</v>
      </c>
      <c r="D21" s="1" t="s">
        <v>15</v>
      </c>
      <c r="E21" s="1">
        <v>1</v>
      </c>
      <c r="F21" s="1">
        <v>1</v>
      </c>
      <c r="G21" s="1" t="s">
        <v>16</v>
      </c>
    </row>
    <row r="22" spans="1:7" x14ac:dyDescent="0.25">
      <c r="A22" s="1">
        <v>80.698728561401296</v>
      </c>
      <c r="B22" s="1" t="s">
        <v>41</v>
      </c>
      <c r="C22" s="1" t="s">
        <v>29</v>
      </c>
      <c r="D22" s="1" t="s">
        <v>18</v>
      </c>
      <c r="E22" s="1">
        <v>0.5</v>
      </c>
      <c r="F22" s="1">
        <v>0.33333333333333298</v>
      </c>
      <c r="G22" s="1" t="s">
        <v>19</v>
      </c>
    </row>
    <row r="23" spans="1:7" x14ac:dyDescent="0.25">
      <c r="A23" s="1">
        <v>82.603454589843693</v>
      </c>
      <c r="B23" s="1" t="s">
        <v>42</v>
      </c>
      <c r="C23" s="1" t="s">
        <v>18</v>
      </c>
      <c r="D23" s="1" t="s">
        <v>18</v>
      </c>
      <c r="E23" s="1">
        <v>1</v>
      </c>
      <c r="F23" s="1">
        <v>1</v>
      </c>
      <c r="G23" s="1" t="s">
        <v>19</v>
      </c>
    </row>
    <row r="24" spans="1:7" x14ac:dyDescent="0.25">
      <c r="A24" s="1">
        <v>82.853794097900305</v>
      </c>
      <c r="B24" s="1" t="s">
        <v>43</v>
      </c>
      <c r="C24" s="1" t="s">
        <v>18</v>
      </c>
      <c r="D24" s="1" t="s">
        <v>18</v>
      </c>
      <c r="E24" s="1">
        <v>1</v>
      </c>
      <c r="F24" s="1">
        <v>1</v>
      </c>
      <c r="G24" s="1" t="s">
        <v>19</v>
      </c>
    </row>
    <row r="25" spans="1:7" x14ac:dyDescent="0.25">
      <c r="A25" s="1">
        <v>84.622383117675696</v>
      </c>
      <c r="B25" s="1" t="s">
        <v>44</v>
      </c>
      <c r="C25" s="1" t="s">
        <v>18</v>
      </c>
      <c r="D25" s="1" t="s">
        <v>18</v>
      </c>
      <c r="E25" s="1">
        <v>1</v>
      </c>
      <c r="F25" s="1">
        <v>1</v>
      </c>
      <c r="G25" s="1" t="s">
        <v>19</v>
      </c>
    </row>
    <row r="26" spans="1:7" x14ac:dyDescent="0.25">
      <c r="A26" s="1">
        <v>81.547498703002901</v>
      </c>
      <c r="B26" s="1" t="s">
        <v>45</v>
      </c>
      <c r="C26" s="1" t="s">
        <v>46</v>
      </c>
      <c r="D26" s="1" t="s">
        <v>18</v>
      </c>
      <c r="E26" s="1">
        <v>0</v>
      </c>
      <c r="F26" s="1">
        <v>0</v>
      </c>
      <c r="G26" s="1" t="s">
        <v>19</v>
      </c>
    </row>
    <row r="27" spans="1:7" x14ac:dyDescent="0.25">
      <c r="A27" s="1">
        <v>86.236715316772404</v>
      </c>
      <c r="B27" s="1" t="s">
        <v>47</v>
      </c>
      <c r="C27" s="1" t="s">
        <v>18</v>
      </c>
      <c r="D27" s="1" t="s">
        <v>18</v>
      </c>
      <c r="E27" s="1">
        <v>1</v>
      </c>
      <c r="F27" s="1">
        <v>1</v>
      </c>
      <c r="G27" s="1" t="s">
        <v>19</v>
      </c>
    </row>
    <row r="28" spans="1:7" x14ac:dyDescent="0.25">
      <c r="A28" s="1">
        <v>83.934307098388601</v>
      </c>
      <c r="B28" s="1" t="s">
        <v>48</v>
      </c>
      <c r="C28" s="1" t="s">
        <v>18</v>
      </c>
      <c r="D28" s="1" t="s">
        <v>18</v>
      </c>
      <c r="E28" s="1">
        <v>1</v>
      </c>
      <c r="F28" s="1">
        <v>1</v>
      </c>
      <c r="G28" s="1" t="s">
        <v>19</v>
      </c>
    </row>
    <row r="29" spans="1:7" x14ac:dyDescent="0.25">
      <c r="A29" s="1">
        <v>82.593202590942298</v>
      </c>
      <c r="B29" s="1" t="s">
        <v>49</v>
      </c>
      <c r="C29" s="1" t="s">
        <v>18</v>
      </c>
      <c r="D29" s="1" t="s">
        <v>18</v>
      </c>
      <c r="E29" s="1">
        <v>1</v>
      </c>
      <c r="F29" s="1">
        <v>1</v>
      </c>
      <c r="G29" s="1" t="s">
        <v>19</v>
      </c>
    </row>
    <row r="30" spans="1:7" x14ac:dyDescent="0.25">
      <c r="A30" s="1">
        <v>82.643985748291001</v>
      </c>
      <c r="B30" s="1" t="s">
        <v>50</v>
      </c>
      <c r="C30" s="1" t="s">
        <v>18</v>
      </c>
      <c r="D30" s="1" t="s">
        <v>18</v>
      </c>
      <c r="E30" s="1">
        <v>1</v>
      </c>
      <c r="F30" s="1">
        <v>1</v>
      </c>
      <c r="G30" s="1" t="s">
        <v>19</v>
      </c>
    </row>
    <row r="31" spans="1:7" x14ac:dyDescent="0.25">
      <c r="A31" s="1">
        <v>82.331657409667898</v>
      </c>
      <c r="B31" s="1" t="s">
        <v>51</v>
      </c>
      <c r="C31" s="1" t="s">
        <v>18</v>
      </c>
      <c r="D31" s="1" t="s">
        <v>18</v>
      </c>
      <c r="E31" s="1">
        <v>1</v>
      </c>
      <c r="F31" s="1">
        <v>1</v>
      </c>
      <c r="G31" s="1" t="s">
        <v>19</v>
      </c>
    </row>
    <row r="32" spans="1:7" x14ac:dyDescent="0.25">
      <c r="A32" s="1">
        <v>80.947160720825195</v>
      </c>
      <c r="B32" s="1" t="s">
        <v>52</v>
      </c>
      <c r="C32" s="1" t="s">
        <v>18</v>
      </c>
      <c r="D32" s="1" t="s">
        <v>18</v>
      </c>
      <c r="E32" s="1">
        <v>1</v>
      </c>
      <c r="F32" s="1">
        <v>1</v>
      </c>
      <c r="G32" s="1" t="s">
        <v>19</v>
      </c>
    </row>
    <row r="33" spans="1:7" x14ac:dyDescent="0.25">
      <c r="A33" s="1">
        <v>83.073854446411104</v>
      </c>
      <c r="B33" s="1" t="s">
        <v>53</v>
      </c>
      <c r="C33" s="1" t="s">
        <v>18</v>
      </c>
      <c r="D33" s="1" t="s">
        <v>18</v>
      </c>
      <c r="E33" s="1">
        <v>1</v>
      </c>
      <c r="F33" s="1">
        <v>1</v>
      </c>
      <c r="G33" s="1" t="s">
        <v>19</v>
      </c>
    </row>
    <row r="34" spans="1:7" x14ac:dyDescent="0.25">
      <c r="A34" s="1">
        <v>87.038040161132798</v>
      </c>
      <c r="B34" s="1" t="s">
        <v>54</v>
      </c>
      <c r="C34" s="1" t="s">
        <v>18</v>
      </c>
      <c r="D34" s="1" t="s">
        <v>18</v>
      </c>
      <c r="E34" s="1">
        <v>1</v>
      </c>
      <c r="F34" s="1">
        <v>1</v>
      </c>
      <c r="G34" s="1" t="s">
        <v>19</v>
      </c>
    </row>
    <row r="35" spans="1:7" x14ac:dyDescent="0.25">
      <c r="A35" s="1">
        <v>80.9478759765625</v>
      </c>
      <c r="B35" s="1" t="s">
        <v>55</v>
      </c>
      <c r="C35" s="1" t="s">
        <v>18</v>
      </c>
      <c r="D35" s="1" t="s">
        <v>18</v>
      </c>
      <c r="E35" s="1">
        <v>1</v>
      </c>
      <c r="F35" s="1">
        <v>1</v>
      </c>
      <c r="G35" s="1" t="s">
        <v>19</v>
      </c>
    </row>
    <row r="36" spans="1:7" x14ac:dyDescent="0.25">
      <c r="A36" s="1">
        <v>82.597017288207994</v>
      </c>
      <c r="B36" s="1" t="s">
        <v>56</v>
      </c>
      <c r="C36" s="1" t="s">
        <v>18</v>
      </c>
      <c r="D36" s="1" t="s">
        <v>18</v>
      </c>
      <c r="E36" s="1">
        <v>1</v>
      </c>
      <c r="F36" s="1">
        <v>1</v>
      </c>
      <c r="G36" s="1" t="s">
        <v>19</v>
      </c>
    </row>
    <row r="37" spans="1:7" x14ac:dyDescent="0.25">
      <c r="A37" s="1">
        <v>83.2126140594482</v>
      </c>
      <c r="B37" s="1" t="s">
        <v>57</v>
      </c>
      <c r="C37" s="1" t="s">
        <v>18</v>
      </c>
      <c r="D37" s="1" t="s">
        <v>18</v>
      </c>
      <c r="E37" s="1">
        <v>1</v>
      </c>
      <c r="F37" s="1">
        <v>1</v>
      </c>
      <c r="G37" s="1" t="s">
        <v>19</v>
      </c>
    </row>
    <row r="38" spans="1:7" x14ac:dyDescent="0.25">
      <c r="A38" s="1">
        <v>81.937789916992102</v>
      </c>
      <c r="B38" s="1" t="s">
        <v>58</v>
      </c>
      <c r="C38" s="1" t="s">
        <v>29</v>
      </c>
      <c r="D38" s="1" t="s">
        <v>18</v>
      </c>
      <c r="E38" s="1">
        <v>0.5</v>
      </c>
      <c r="F38" s="1">
        <v>0.33333333333333298</v>
      </c>
      <c r="G38" s="1" t="s">
        <v>19</v>
      </c>
    </row>
    <row r="39" spans="1:7" x14ac:dyDescent="0.25">
      <c r="A39" s="1">
        <v>82.169055938720703</v>
      </c>
      <c r="B39" s="1" t="s">
        <v>59</v>
      </c>
      <c r="C39" s="1" t="s">
        <v>18</v>
      </c>
      <c r="D39" s="1" t="s">
        <v>18</v>
      </c>
      <c r="E39" s="1">
        <v>1</v>
      </c>
      <c r="F39" s="1">
        <v>1</v>
      </c>
      <c r="G39" s="1" t="s">
        <v>19</v>
      </c>
    </row>
    <row r="40" spans="1:7" x14ac:dyDescent="0.25">
      <c r="A40" s="1">
        <v>81.261396408080998</v>
      </c>
      <c r="B40" s="1" t="s">
        <v>60</v>
      </c>
      <c r="C40" s="1" t="s">
        <v>18</v>
      </c>
      <c r="D40" s="1" t="s">
        <v>18</v>
      </c>
      <c r="E40" s="1">
        <v>1</v>
      </c>
      <c r="F40" s="1">
        <v>1</v>
      </c>
      <c r="G40" s="1" t="s">
        <v>19</v>
      </c>
    </row>
    <row r="41" spans="1:7" x14ac:dyDescent="0.25">
      <c r="A41" s="1">
        <v>44.628620147705</v>
      </c>
      <c r="B41" s="1" t="s">
        <v>61</v>
      </c>
      <c r="C41" s="1" t="s">
        <v>15</v>
      </c>
      <c r="D41" s="1" t="s">
        <v>15</v>
      </c>
      <c r="E41" s="1">
        <v>1</v>
      </c>
      <c r="F41" s="1">
        <v>1</v>
      </c>
      <c r="G41" s="1" t="s">
        <v>16</v>
      </c>
    </row>
    <row r="42" spans="1:7" x14ac:dyDescent="0.25">
      <c r="A42" s="1">
        <v>81.904888153076101</v>
      </c>
      <c r="B42" s="1" t="s">
        <v>62</v>
      </c>
      <c r="C42" s="1" t="s">
        <v>18</v>
      </c>
      <c r="D42" s="1" t="s">
        <v>18</v>
      </c>
      <c r="E42" s="1">
        <v>1</v>
      </c>
      <c r="F42" s="1">
        <v>1</v>
      </c>
      <c r="G42" s="1" t="s">
        <v>19</v>
      </c>
    </row>
    <row r="43" spans="1:7" x14ac:dyDescent="0.25">
      <c r="A43" s="1">
        <v>82.943201065063406</v>
      </c>
      <c r="B43" s="1" t="s">
        <v>63</v>
      </c>
      <c r="C43" s="1" t="s">
        <v>18</v>
      </c>
      <c r="D43" s="1" t="s">
        <v>18</v>
      </c>
      <c r="E43" s="1">
        <v>1</v>
      </c>
      <c r="F43" s="1">
        <v>1</v>
      </c>
      <c r="G43" s="1" t="s">
        <v>19</v>
      </c>
    </row>
    <row r="44" spans="1:7" x14ac:dyDescent="0.25">
      <c r="A44" s="1">
        <v>81.328153610229407</v>
      </c>
      <c r="B44" s="1" t="s">
        <v>64</v>
      </c>
      <c r="C44" s="1" t="s">
        <v>18</v>
      </c>
      <c r="D44" s="1" t="s">
        <v>18</v>
      </c>
      <c r="E44" s="1">
        <v>1</v>
      </c>
      <c r="F44" s="1">
        <v>1</v>
      </c>
      <c r="G44" s="1" t="s">
        <v>19</v>
      </c>
    </row>
    <row r="45" spans="1:7" x14ac:dyDescent="0.25">
      <c r="A45" s="1">
        <v>82.911252975463796</v>
      </c>
      <c r="B45" s="1" t="s">
        <v>65</v>
      </c>
      <c r="C45" s="1" t="s">
        <v>18</v>
      </c>
      <c r="D45" s="1" t="s">
        <v>18</v>
      </c>
      <c r="E45" s="1">
        <v>1</v>
      </c>
      <c r="F45" s="1">
        <v>1</v>
      </c>
      <c r="G45" s="1" t="s">
        <v>19</v>
      </c>
    </row>
    <row r="46" spans="1:7" x14ac:dyDescent="0.25">
      <c r="A46" s="1">
        <v>81.745386123657198</v>
      </c>
      <c r="B46" s="1" t="s">
        <v>66</v>
      </c>
      <c r="C46" s="1" t="s">
        <v>18</v>
      </c>
      <c r="D46" s="1" t="s">
        <v>18</v>
      </c>
      <c r="E46" s="1">
        <v>1</v>
      </c>
      <c r="F46" s="1">
        <v>1</v>
      </c>
      <c r="G46" s="1" t="s">
        <v>19</v>
      </c>
    </row>
    <row r="47" spans="1:7" x14ac:dyDescent="0.25">
      <c r="A47" s="1">
        <v>82.592487335205007</v>
      </c>
      <c r="B47" s="1" t="s">
        <v>67</v>
      </c>
      <c r="C47" s="1" t="s">
        <v>18</v>
      </c>
      <c r="D47" s="1" t="s">
        <v>18</v>
      </c>
      <c r="E47" s="1">
        <v>1</v>
      </c>
      <c r="F47" s="1">
        <v>1</v>
      </c>
      <c r="G47" s="1" t="s">
        <v>19</v>
      </c>
    </row>
    <row r="48" spans="1:7" x14ac:dyDescent="0.25">
      <c r="A48" s="1">
        <v>82.1139812469482</v>
      </c>
      <c r="B48" s="1" t="s">
        <v>68</v>
      </c>
      <c r="C48" s="1" t="s">
        <v>18</v>
      </c>
      <c r="D48" s="1" t="s">
        <v>18</v>
      </c>
      <c r="E48" s="1">
        <v>1</v>
      </c>
      <c r="F48" s="1">
        <v>1</v>
      </c>
      <c r="G48" s="1" t="s">
        <v>19</v>
      </c>
    </row>
    <row r="49" spans="1:7" x14ac:dyDescent="0.25">
      <c r="A49" s="1">
        <v>81.049442291259695</v>
      </c>
      <c r="B49" s="1" t="s">
        <v>69</v>
      </c>
      <c r="C49" s="1" t="s">
        <v>18</v>
      </c>
      <c r="D49" s="1" t="s">
        <v>18</v>
      </c>
      <c r="E49" s="1">
        <v>1</v>
      </c>
      <c r="F49" s="1">
        <v>1</v>
      </c>
      <c r="G49" s="1" t="s">
        <v>19</v>
      </c>
    </row>
    <row r="50" spans="1:7" x14ac:dyDescent="0.25">
      <c r="A50" s="1">
        <v>87.378025054931598</v>
      </c>
      <c r="B50" s="1" t="s">
        <v>70</v>
      </c>
      <c r="C50" s="1" t="s">
        <v>18</v>
      </c>
      <c r="D50" s="1" t="s">
        <v>18</v>
      </c>
      <c r="E50" s="1">
        <v>1</v>
      </c>
      <c r="F50" s="1">
        <v>1</v>
      </c>
      <c r="G50" s="1" t="s">
        <v>19</v>
      </c>
    </row>
    <row r="51" spans="1:7" x14ac:dyDescent="0.25">
      <c r="A51" s="1">
        <v>83.070755004882798</v>
      </c>
      <c r="B51" s="1" t="s">
        <v>71</v>
      </c>
      <c r="C51" s="1" t="s">
        <v>18</v>
      </c>
      <c r="D51" s="1" t="s">
        <v>18</v>
      </c>
      <c r="E51" s="1">
        <v>1</v>
      </c>
      <c r="F51" s="1">
        <v>1</v>
      </c>
      <c r="G51" s="1" t="s">
        <v>19</v>
      </c>
    </row>
    <row r="52" spans="1:7" x14ac:dyDescent="0.25">
      <c r="A52" s="1">
        <v>81.696748733520494</v>
      </c>
      <c r="B52" s="1" t="s">
        <v>72</v>
      </c>
      <c r="C52" s="1" t="s">
        <v>18</v>
      </c>
      <c r="D52" s="1" t="s">
        <v>18</v>
      </c>
      <c r="E52" s="1">
        <v>1</v>
      </c>
      <c r="F52" s="1">
        <v>1</v>
      </c>
      <c r="G52" s="1" t="s">
        <v>19</v>
      </c>
    </row>
    <row r="53" spans="1:7" x14ac:dyDescent="0.25">
      <c r="A53" s="1">
        <v>82.532882690429602</v>
      </c>
      <c r="B53" s="1" t="s">
        <v>73</v>
      </c>
      <c r="C53" s="1" t="s">
        <v>18</v>
      </c>
      <c r="D53" s="1" t="s">
        <v>18</v>
      </c>
      <c r="E53" s="1">
        <v>1</v>
      </c>
      <c r="F53" s="1">
        <v>1</v>
      </c>
      <c r="G53" s="1" t="s">
        <v>19</v>
      </c>
    </row>
    <row r="54" spans="1:7" x14ac:dyDescent="0.25">
      <c r="A54" s="1">
        <v>47.473669052124002</v>
      </c>
      <c r="B54" s="1" t="s">
        <v>74</v>
      </c>
      <c r="C54" s="1" t="s">
        <v>15</v>
      </c>
      <c r="D54" s="1" t="s">
        <v>15</v>
      </c>
      <c r="E54" s="1">
        <v>1</v>
      </c>
      <c r="F54" s="1">
        <v>1</v>
      </c>
      <c r="G54" s="1" t="s">
        <v>16</v>
      </c>
    </row>
    <row r="55" spans="1:7" x14ac:dyDescent="0.25">
      <c r="A55" s="1">
        <v>82.598924636840806</v>
      </c>
      <c r="B55" s="1" t="s">
        <v>75</v>
      </c>
      <c r="C55" s="1" t="s">
        <v>18</v>
      </c>
      <c r="D55" s="1" t="s">
        <v>18</v>
      </c>
      <c r="E55" s="1">
        <v>1</v>
      </c>
      <c r="F55" s="1">
        <v>1</v>
      </c>
      <c r="G55" s="1" t="s">
        <v>19</v>
      </c>
    </row>
    <row r="56" spans="1:7" x14ac:dyDescent="0.25">
      <c r="A56" s="1">
        <v>82.616090774536104</v>
      </c>
      <c r="B56" s="1" t="s">
        <v>76</v>
      </c>
      <c r="C56" s="1" t="s">
        <v>18</v>
      </c>
      <c r="D56" s="1" t="s">
        <v>18</v>
      </c>
      <c r="E56" s="1">
        <v>1</v>
      </c>
      <c r="F56" s="1">
        <v>1</v>
      </c>
      <c r="G56" s="1" t="s">
        <v>19</v>
      </c>
    </row>
    <row r="57" spans="1:7" x14ac:dyDescent="0.25">
      <c r="A57" s="1">
        <v>87.710380554199205</v>
      </c>
      <c r="B57" s="1" t="s">
        <v>77</v>
      </c>
      <c r="C57" s="1" t="s">
        <v>18</v>
      </c>
      <c r="D57" s="1" t="s">
        <v>18</v>
      </c>
      <c r="E57" s="1">
        <v>1</v>
      </c>
      <c r="F57" s="1">
        <v>1</v>
      </c>
      <c r="G57" s="1" t="s">
        <v>19</v>
      </c>
    </row>
    <row r="58" spans="1:7" x14ac:dyDescent="0.25">
      <c r="A58" s="1">
        <v>81.623077392578097</v>
      </c>
      <c r="B58" s="1" t="s">
        <v>78</v>
      </c>
      <c r="C58" s="1" t="s">
        <v>18</v>
      </c>
      <c r="D58" s="1" t="s">
        <v>18</v>
      </c>
      <c r="E58" s="1">
        <v>1</v>
      </c>
      <c r="F58" s="1">
        <v>1</v>
      </c>
      <c r="G58" s="1" t="s">
        <v>19</v>
      </c>
    </row>
    <row r="59" spans="1:7" x14ac:dyDescent="0.25">
      <c r="A59" s="1">
        <v>82.935333251953097</v>
      </c>
      <c r="B59" s="1" t="s">
        <v>79</v>
      </c>
      <c r="C59" s="1" t="s">
        <v>18</v>
      </c>
      <c r="D59" s="1" t="s">
        <v>18</v>
      </c>
      <c r="E59" s="1">
        <v>1</v>
      </c>
      <c r="F59" s="1">
        <v>1</v>
      </c>
      <c r="G59" s="1" t="s">
        <v>19</v>
      </c>
    </row>
    <row r="60" spans="1:7" x14ac:dyDescent="0.25">
      <c r="A60" s="1">
        <v>83.791255950927706</v>
      </c>
      <c r="B60" s="1" t="s">
        <v>80</v>
      </c>
      <c r="C60" s="1" t="s">
        <v>18</v>
      </c>
      <c r="D60" s="1" t="s">
        <v>18</v>
      </c>
      <c r="E60" s="1">
        <v>1</v>
      </c>
      <c r="F60" s="1">
        <v>1</v>
      </c>
      <c r="G60" s="1" t="s">
        <v>19</v>
      </c>
    </row>
    <row r="61" spans="1:7" x14ac:dyDescent="0.25">
      <c r="A61" s="1">
        <v>81.3357830047607</v>
      </c>
      <c r="B61" s="1" t="s">
        <v>81</v>
      </c>
      <c r="C61" s="1" t="s">
        <v>29</v>
      </c>
      <c r="D61" s="1" t="s">
        <v>18</v>
      </c>
      <c r="E61" s="1">
        <v>0.5</v>
      </c>
      <c r="F61" s="1">
        <v>0.33333333333333298</v>
      </c>
      <c r="G61" s="1" t="s">
        <v>19</v>
      </c>
    </row>
    <row r="62" spans="1:7" x14ac:dyDescent="0.25">
      <c r="A62" s="1">
        <v>82.376003265380803</v>
      </c>
      <c r="B62" s="1" t="s">
        <v>82</v>
      </c>
      <c r="C62" s="1" t="s">
        <v>18</v>
      </c>
      <c r="D62" s="1" t="s">
        <v>18</v>
      </c>
      <c r="E62" s="1">
        <v>1</v>
      </c>
      <c r="F62" s="1">
        <v>1</v>
      </c>
      <c r="G62" s="1" t="s">
        <v>19</v>
      </c>
    </row>
    <row r="63" spans="1:7" x14ac:dyDescent="0.25">
      <c r="A63" s="1">
        <v>43.942689895629798</v>
      </c>
      <c r="B63" s="1" t="s">
        <v>83</v>
      </c>
      <c r="C63" s="1" t="s">
        <v>15</v>
      </c>
      <c r="D63" s="1" t="s">
        <v>15</v>
      </c>
      <c r="E63" s="1">
        <v>1</v>
      </c>
      <c r="F63" s="1">
        <v>1</v>
      </c>
      <c r="G63" s="1" t="s">
        <v>16</v>
      </c>
    </row>
    <row r="64" spans="1:7" x14ac:dyDescent="0.25">
      <c r="A64" s="1">
        <v>82.650184631347599</v>
      </c>
      <c r="B64" s="1" t="s">
        <v>84</v>
      </c>
      <c r="C64" s="1" t="s">
        <v>18</v>
      </c>
      <c r="D64" s="1" t="s">
        <v>18</v>
      </c>
      <c r="E64" s="1">
        <v>1</v>
      </c>
      <c r="F64" s="1">
        <v>1</v>
      </c>
      <c r="G64" s="1" t="s">
        <v>19</v>
      </c>
    </row>
    <row r="65" spans="1:7" x14ac:dyDescent="0.25">
      <c r="A65" s="1">
        <v>83.149909973144503</v>
      </c>
      <c r="B65" s="1" t="s">
        <v>85</v>
      </c>
      <c r="C65" s="1" t="s">
        <v>18</v>
      </c>
      <c r="D65" s="1" t="s">
        <v>18</v>
      </c>
      <c r="E65" s="1">
        <v>1</v>
      </c>
      <c r="F65" s="1">
        <v>1</v>
      </c>
      <c r="G65" s="1" t="s">
        <v>19</v>
      </c>
    </row>
    <row r="66" spans="1:7" x14ac:dyDescent="0.25">
      <c r="A66" s="1">
        <v>82.000970840454102</v>
      </c>
      <c r="B66" s="1" t="s">
        <v>86</v>
      </c>
      <c r="C66" s="1" t="s">
        <v>18</v>
      </c>
      <c r="D66" s="1" t="s">
        <v>18</v>
      </c>
      <c r="E66" s="1">
        <v>1</v>
      </c>
      <c r="F66" s="1">
        <v>1</v>
      </c>
      <c r="G66" s="1" t="s">
        <v>19</v>
      </c>
    </row>
    <row r="67" spans="1:7" x14ac:dyDescent="0.25">
      <c r="A67" s="1">
        <v>82.231283187866197</v>
      </c>
      <c r="B67" s="1" t="s">
        <v>87</v>
      </c>
      <c r="C67" s="1" t="s">
        <v>18</v>
      </c>
      <c r="D67" s="1" t="s">
        <v>18</v>
      </c>
      <c r="E67" s="1">
        <v>1</v>
      </c>
      <c r="F67" s="1">
        <v>1</v>
      </c>
      <c r="G67" s="1" t="s">
        <v>19</v>
      </c>
    </row>
    <row r="68" spans="1:7" x14ac:dyDescent="0.25">
      <c r="A68" s="1">
        <v>80.735445022582994</v>
      </c>
      <c r="B68" s="1" t="s">
        <v>88</v>
      </c>
      <c r="C68" s="1" t="s">
        <v>18</v>
      </c>
      <c r="D68" s="1" t="s">
        <v>18</v>
      </c>
      <c r="E68" s="1">
        <v>1</v>
      </c>
      <c r="F68" s="1">
        <v>1</v>
      </c>
      <c r="G68" s="1" t="s">
        <v>19</v>
      </c>
    </row>
    <row r="69" spans="1:7" x14ac:dyDescent="0.25">
      <c r="A69" s="1">
        <v>83.857774734496999</v>
      </c>
      <c r="B69" s="1" t="s">
        <v>89</v>
      </c>
      <c r="C69" s="1" t="s">
        <v>18</v>
      </c>
      <c r="D69" s="1" t="s">
        <v>18</v>
      </c>
      <c r="E69" s="1">
        <v>1</v>
      </c>
      <c r="F69" s="1">
        <v>1</v>
      </c>
      <c r="G69" s="1" t="s">
        <v>19</v>
      </c>
    </row>
    <row r="70" spans="1:7" x14ac:dyDescent="0.25">
      <c r="A70" s="1">
        <v>80.832004547119098</v>
      </c>
      <c r="B70" s="1" t="s">
        <v>90</v>
      </c>
      <c r="C70" s="1" t="s">
        <v>91</v>
      </c>
      <c r="D70" s="1" t="s">
        <v>18</v>
      </c>
      <c r="E70" s="1">
        <v>0.5</v>
      </c>
      <c r="F70" s="1">
        <v>0.33333333333333298</v>
      </c>
      <c r="G70" s="1" t="s">
        <v>19</v>
      </c>
    </row>
    <row r="71" spans="1:7" x14ac:dyDescent="0.25">
      <c r="A71" s="1">
        <v>82.456588745117102</v>
      </c>
      <c r="B71" s="1" t="s">
        <v>92</v>
      </c>
      <c r="C71" s="1" t="s">
        <v>18</v>
      </c>
      <c r="D71" s="1" t="s">
        <v>18</v>
      </c>
      <c r="E71" s="1">
        <v>1</v>
      </c>
      <c r="F71" s="1">
        <v>1</v>
      </c>
      <c r="G71" s="1" t="s">
        <v>19</v>
      </c>
    </row>
    <row r="72" spans="1:7" x14ac:dyDescent="0.25">
      <c r="A72" s="1">
        <v>81.0000896453857</v>
      </c>
      <c r="B72" s="1" t="s">
        <v>93</v>
      </c>
      <c r="C72" s="1" t="s">
        <v>18</v>
      </c>
      <c r="D72" s="1" t="s">
        <v>18</v>
      </c>
      <c r="E72" s="1">
        <v>1</v>
      </c>
      <c r="F72" s="1">
        <v>1</v>
      </c>
      <c r="G72" s="1" t="s">
        <v>19</v>
      </c>
    </row>
    <row r="73" spans="1:7" x14ac:dyDescent="0.25">
      <c r="A73" s="1">
        <v>43.024778366088803</v>
      </c>
      <c r="B73" s="1" t="s">
        <v>94</v>
      </c>
      <c r="C73" s="1" t="s">
        <v>15</v>
      </c>
      <c r="D73" s="1" t="s">
        <v>15</v>
      </c>
      <c r="E73" s="1">
        <v>1</v>
      </c>
      <c r="F73" s="1">
        <v>1</v>
      </c>
      <c r="G73" s="1" t="s">
        <v>16</v>
      </c>
    </row>
    <row r="74" spans="1:7" x14ac:dyDescent="0.25">
      <c r="A74" s="1">
        <v>81.410884857177706</v>
      </c>
      <c r="B74" s="1" t="s">
        <v>95</v>
      </c>
      <c r="C74" s="1" t="s">
        <v>18</v>
      </c>
      <c r="D74" s="1" t="s">
        <v>18</v>
      </c>
      <c r="E74" s="1">
        <v>1</v>
      </c>
      <c r="F74" s="1">
        <v>1</v>
      </c>
      <c r="G74" s="1" t="s">
        <v>19</v>
      </c>
    </row>
    <row r="75" spans="1:7" x14ac:dyDescent="0.25">
      <c r="A75" s="1">
        <v>81.052064895629798</v>
      </c>
      <c r="B75" s="1" t="s">
        <v>96</v>
      </c>
      <c r="C75" s="1" t="s">
        <v>18</v>
      </c>
      <c r="D75" s="1" t="s">
        <v>18</v>
      </c>
      <c r="E75" s="1">
        <v>1</v>
      </c>
      <c r="F75" s="1">
        <v>1</v>
      </c>
      <c r="G75" s="1" t="s">
        <v>19</v>
      </c>
    </row>
    <row r="76" spans="1:7" x14ac:dyDescent="0.25">
      <c r="A76" s="1">
        <v>42.489290237426701</v>
      </c>
      <c r="B76" s="1" t="s">
        <v>97</v>
      </c>
      <c r="C76" s="1" t="s">
        <v>15</v>
      </c>
      <c r="D76" s="1" t="s">
        <v>15</v>
      </c>
      <c r="E76" s="1">
        <v>1</v>
      </c>
      <c r="F76" s="1">
        <v>1</v>
      </c>
      <c r="G76" s="1" t="s">
        <v>16</v>
      </c>
    </row>
    <row r="77" spans="1:7" x14ac:dyDescent="0.25">
      <c r="A77" s="1">
        <v>83.969593048095703</v>
      </c>
      <c r="B77" s="1" t="s">
        <v>98</v>
      </c>
      <c r="C77" s="1" t="s">
        <v>18</v>
      </c>
      <c r="D77" s="1" t="s">
        <v>18</v>
      </c>
      <c r="E77" s="1">
        <v>1</v>
      </c>
      <c r="F77" s="1">
        <v>1</v>
      </c>
      <c r="G77" s="1" t="s">
        <v>19</v>
      </c>
    </row>
    <row r="78" spans="1:7" x14ac:dyDescent="0.25">
      <c r="A78" s="1"/>
      <c r="B78" s="1"/>
      <c r="C78" s="1"/>
      <c r="D78" s="1"/>
      <c r="E78" s="1"/>
      <c r="F78" s="1"/>
      <c r="G78" s="1"/>
    </row>
    <row r="79" spans="1:7" x14ac:dyDescent="0.25">
      <c r="A79" s="1"/>
      <c r="B79" s="1"/>
      <c r="C79" s="1"/>
      <c r="D79" s="1"/>
      <c r="E79" s="1"/>
      <c r="F79" s="1"/>
      <c r="G79" s="1"/>
    </row>
    <row r="80" spans="1:7" x14ac:dyDescent="0.25">
      <c r="A80" s="1"/>
      <c r="B80" s="1"/>
      <c r="C80" s="1"/>
      <c r="D80" s="1"/>
      <c r="E80" s="1"/>
      <c r="F80" s="1"/>
      <c r="G80" s="1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x14ac:dyDescent="0.25">
      <c r="A82" s="1">
        <f>AVERAGE(A4:A77)</f>
        <v>76.878170709352219</v>
      </c>
      <c r="B82" s="1"/>
      <c r="C82" s="1"/>
      <c r="D82" s="1"/>
      <c r="E82" s="1">
        <f>SUBTOTAL(101,detection_results3[Column5])</f>
        <v>0.94888888888888878</v>
      </c>
      <c r="F82" s="1">
        <f>SUBTOTAL(101,detection_results3[Column6])</f>
        <v>0.93422222222222218</v>
      </c>
      <c r="G82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2504-EA22-43F5-9E60-93FEB389D09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1EF27E-2FDC-4C1F-9CE4-FEEB2A9F6D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detection_results3 (4)</vt:lpstr>
      <vt:lpstr>detection_results3 </vt:lpstr>
      <vt:lpstr>detection_results2</vt:lpstr>
      <vt:lpstr>detection_results8</vt:lpstr>
      <vt:lpstr>detection_results1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2025-10-08T12:36:19Z</dcterms:created>
  <dcterms:modified xsi:type="dcterms:W3CDTF">2025-10-08T13:04:19Z</dcterms:modified>
</cp:coreProperties>
</file>